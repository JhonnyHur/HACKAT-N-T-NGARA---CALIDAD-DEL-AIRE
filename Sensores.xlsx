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Gacalberto\Documents\UAO\Hackathon\"/>
    </mc:Choice>
  </mc:AlternateContent>
  <bookViews>
    <workbookView xWindow="0" yWindow="0" windowWidth="9030" windowHeight="57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59" i="1" l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58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5" i="1"/>
  <c r="CK21" i="1"/>
  <c r="CK6" i="1"/>
  <c r="CL6" i="1" s="1"/>
  <c r="CK33" i="1"/>
  <c r="CK20" i="1"/>
  <c r="CK12" i="1"/>
  <c r="CK5" i="1"/>
  <c r="CL5" i="1" s="1"/>
  <c r="CK7" i="1"/>
  <c r="CL7" i="1" s="1"/>
  <c r="CK22" i="1"/>
  <c r="CL22" i="1" s="1"/>
  <c r="CK23" i="1"/>
  <c r="CK25" i="1"/>
  <c r="CK32" i="1"/>
  <c r="CK13" i="1"/>
  <c r="CK28" i="1"/>
  <c r="CK16" i="1"/>
  <c r="CL16" i="1" s="1"/>
  <c r="CK31" i="1"/>
  <c r="CL31" i="1" s="1"/>
  <c r="CK17" i="1"/>
  <c r="CL17" i="1" s="1"/>
  <c r="CK15" i="1"/>
  <c r="CK18" i="1"/>
  <c r="CL18" i="1" s="1"/>
  <c r="CK34" i="1"/>
  <c r="CK8" i="1"/>
  <c r="CL8" i="1" s="1"/>
  <c r="CK27" i="1"/>
  <c r="CL27" i="1" s="1"/>
  <c r="CK26" i="1"/>
  <c r="CL26" i="1" s="1"/>
  <c r="CK30" i="1"/>
  <c r="CL30" i="1" s="1"/>
  <c r="CK19" i="1"/>
  <c r="CL19" i="1" s="1"/>
  <c r="CK11" i="1"/>
  <c r="CL11" i="1" s="1"/>
  <c r="CK29" i="1"/>
  <c r="CL29" i="1" s="1"/>
  <c r="CK14" i="1"/>
  <c r="CL14" i="1" s="1"/>
  <c r="CK9" i="1"/>
  <c r="CL9" i="1" s="1"/>
  <c r="CK10" i="1"/>
  <c r="CL10" i="1" s="1"/>
  <c r="CL25" i="1"/>
  <c r="CK24" i="1"/>
  <c r="CL24" i="1" s="1"/>
  <c r="CL28" i="1"/>
  <c r="CL15" i="1"/>
  <c r="CL34" i="1"/>
  <c r="CL13" i="1"/>
  <c r="CL32" i="1"/>
  <c r="CL23" i="1"/>
  <c r="CL12" i="1"/>
  <c r="CL20" i="1"/>
  <c r="CL33" i="1"/>
  <c r="CL21" i="1"/>
  <c r="CD36" i="1"/>
  <c r="CE36" i="1" s="1"/>
  <c r="CD13" i="1"/>
  <c r="CE13" i="1" s="1"/>
  <c r="CD27" i="1"/>
  <c r="CE27" i="1" s="1"/>
  <c r="CD12" i="1"/>
  <c r="CE12" i="1" s="1"/>
  <c r="CD50" i="1"/>
  <c r="CE50" i="1" s="1"/>
  <c r="CD26" i="1"/>
  <c r="CE26" i="1" s="1"/>
  <c r="CD35" i="1"/>
  <c r="CE35" i="1" s="1"/>
  <c r="CD7" i="1"/>
  <c r="CE7" i="1" s="1"/>
  <c r="CD28" i="1"/>
  <c r="CE28" i="1" s="1"/>
  <c r="CD33" i="1"/>
  <c r="CE33" i="1" s="1"/>
  <c r="CD32" i="1"/>
  <c r="CE32" i="1" s="1"/>
  <c r="CD31" i="1"/>
  <c r="CE31" i="1" s="1"/>
  <c r="CD25" i="1"/>
  <c r="CE25" i="1" s="1"/>
  <c r="CD11" i="1"/>
  <c r="CE11" i="1" s="1"/>
  <c r="CD47" i="1"/>
  <c r="CE47" i="1" s="1"/>
  <c r="CD30" i="1"/>
  <c r="CE30" i="1" s="1"/>
  <c r="CD24" i="1"/>
  <c r="CE24" i="1" s="1"/>
  <c r="CD6" i="1"/>
  <c r="CE6" i="1" s="1"/>
  <c r="CD49" i="1"/>
  <c r="CE49" i="1" s="1"/>
  <c r="CD20" i="1"/>
  <c r="CE20" i="1" s="1"/>
  <c r="CD5" i="1"/>
  <c r="CE5" i="1" s="1"/>
  <c r="CD8" i="1"/>
  <c r="CE8" i="1" s="1"/>
  <c r="CD15" i="1"/>
  <c r="CE15" i="1" s="1"/>
  <c r="CD23" i="1"/>
  <c r="CE23" i="1" s="1"/>
  <c r="CD29" i="1"/>
  <c r="CE29" i="1" s="1"/>
  <c r="CD17" i="1"/>
  <c r="CE17" i="1" s="1"/>
  <c r="CD9" i="1"/>
  <c r="CE9" i="1" s="1"/>
  <c r="CD10" i="1"/>
  <c r="CE10" i="1" s="1"/>
  <c r="CD48" i="1"/>
  <c r="CE48" i="1" s="1"/>
  <c r="CD42" i="1"/>
  <c r="CE42" i="1" s="1"/>
  <c r="CD37" i="1"/>
  <c r="CE37" i="1" s="1"/>
  <c r="CD40" i="1"/>
  <c r="CE40" i="1" s="1"/>
  <c r="CD38" i="1"/>
  <c r="CE38" i="1" s="1"/>
  <c r="CD39" i="1"/>
  <c r="CE39" i="1" s="1"/>
  <c r="CD14" i="1"/>
  <c r="CE14" i="1" s="1"/>
  <c r="CD16" i="1"/>
  <c r="CE16" i="1" s="1"/>
  <c r="CD43" i="1"/>
  <c r="CE43" i="1" s="1"/>
  <c r="CD21" i="1"/>
  <c r="CE21" i="1" s="1"/>
  <c r="CD46" i="1"/>
  <c r="CE46" i="1" s="1"/>
  <c r="CD22" i="1"/>
  <c r="CE22" i="1" s="1"/>
  <c r="CD19" i="1"/>
  <c r="CE19" i="1" s="1"/>
  <c r="CD41" i="1"/>
  <c r="CE41" i="1" s="1"/>
  <c r="CD45" i="1"/>
  <c r="CE45" i="1" s="1"/>
  <c r="CD44" i="1"/>
  <c r="CE44" i="1" s="1"/>
  <c r="CD18" i="1"/>
  <c r="CE18" i="1" s="1"/>
  <c r="CD51" i="1"/>
  <c r="CE51" i="1" s="1"/>
  <c r="CD34" i="1"/>
  <c r="CE34" i="1" s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B116" i="1"/>
  <c r="BC116" i="1"/>
  <c r="BB112" i="1"/>
  <c r="BC112" i="1"/>
  <c r="BB113" i="1"/>
  <c r="BC113" i="1"/>
  <c r="BB114" i="1"/>
  <c r="BC114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D116" i="1"/>
  <c r="BE116" i="1"/>
  <c r="BF116" i="1"/>
  <c r="BG116" i="1"/>
  <c r="BH116" i="1"/>
  <c r="BI116" i="1"/>
  <c r="BJ116" i="1"/>
  <c r="BK116" i="1"/>
  <c r="BL116" i="1"/>
  <c r="BM116" i="1"/>
  <c r="BD113" i="1"/>
  <c r="BE113" i="1"/>
  <c r="BF113" i="1"/>
  <c r="BG113" i="1"/>
  <c r="BH113" i="1"/>
  <c r="BI113" i="1"/>
  <c r="BJ113" i="1"/>
  <c r="BK113" i="1"/>
  <c r="BL113" i="1"/>
  <c r="BM113" i="1"/>
  <c r="BD114" i="1"/>
  <c r="BE114" i="1"/>
  <c r="BF114" i="1"/>
  <c r="BG114" i="1"/>
  <c r="BH114" i="1"/>
  <c r="BI114" i="1"/>
  <c r="BJ114" i="1"/>
  <c r="BK114" i="1"/>
  <c r="BL114" i="1"/>
  <c r="BM114" i="1"/>
  <c r="BD110" i="1"/>
  <c r="BE110" i="1"/>
  <c r="BF110" i="1"/>
  <c r="BG110" i="1"/>
  <c r="BH110" i="1"/>
  <c r="BI110" i="1"/>
  <c r="BJ110" i="1"/>
  <c r="BK110" i="1"/>
  <c r="BL110" i="1"/>
  <c r="BM110" i="1"/>
  <c r="BD111" i="1"/>
  <c r="BE111" i="1"/>
  <c r="BF111" i="1"/>
  <c r="BG111" i="1"/>
  <c r="BH111" i="1"/>
  <c r="BI111" i="1"/>
  <c r="BJ111" i="1"/>
  <c r="BK111" i="1"/>
  <c r="BL111" i="1"/>
  <c r="BM111" i="1"/>
  <c r="BD112" i="1"/>
  <c r="BE112" i="1"/>
  <c r="BF112" i="1"/>
  <c r="BG112" i="1"/>
  <c r="BH112" i="1"/>
  <c r="BI112" i="1"/>
  <c r="BJ112" i="1"/>
  <c r="BK112" i="1"/>
  <c r="BL112" i="1"/>
  <c r="BM112" i="1"/>
  <c r="BC110" i="1"/>
  <c r="BC111" i="1"/>
  <c r="BB110" i="1"/>
  <c r="BB111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M45" i="1"/>
  <c r="BL45" i="1"/>
  <c r="BK45" i="1"/>
  <c r="BJ45" i="1"/>
  <c r="BI45" i="1"/>
  <c r="BH45" i="1"/>
  <c r="BG45" i="1"/>
  <c r="BF45" i="1"/>
  <c r="BE45" i="1"/>
  <c r="BD45" i="1"/>
  <c r="BW32" i="1" s="1"/>
  <c r="BX32" i="1" s="1"/>
  <c r="BC45" i="1"/>
  <c r="BB4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5" i="1"/>
  <c r="BP18" i="1" l="1"/>
  <c r="BQ18" i="1" s="1"/>
  <c r="BW20" i="1"/>
  <c r="BX20" i="1" s="1"/>
  <c r="BW8" i="1"/>
  <c r="BX8" i="1" s="1"/>
  <c r="BW42" i="1"/>
  <c r="BX42" i="1" s="1"/>
  <c r="BW9" i="1"/>
  <c r="BX9" i="1" s="1"/>
  <c r="BW21" i="1"/>
  <c r="BX21" i="1" s="1"/>
  <c r="BW35" i="1"/>
  <c r="BX35" i="1" s="1"/>
  <c r="BP15" i="1"/>
  <c r="BQ15" i="1" s="1"/>
  <c r="BW34" i="1"/>
  <c r="BX34" i="1" s="1"/>
  <c r="BW16" i="1"/>
  <c r="BX16" i="1" s="1"/>
  <c r="BW37" i="1"/>
  <c r="BX37" i="1" s="1"/>
  <c r="BW15" i="1"/>
  <c r="BX15" i="1" s="1"/>
  <c r="BW18" i="1"/>
  <c r="BX18" i="1" s="1"/>
  <c r="BW38" i="1"/>
  <c r="BX38" i="1" s="1"/>
  <c r="BW12" i="1"/>
  <c r="BX12" i="1" s="1"/>
  <c r="BW13" i="1"/>
  <c r="BX13" i="1" s="1"/>
  <c r="BW46" i="1"/>
  <c r="BX46" i="1" s="1"/>
  <c r="BW10" i="1"/>
  <c r="BX10" i="1" s="1"/>
  <c r="BW29" i="1"/>
  <c r="BX29" i="1" s="1"/>
  <c r="BW27" i="1"/>
  <c r="BX27" i="1" s="1"/>
  <c r="BW23" i="1"/>
  <c r="BX23" i="1" s="1"/>
  <c r="BW31" i="1"/>
  <c r="BX31" i="1" s="1"/>
  <c r="BW43" i="1"/>
  <c r="BX43" i="1" s="1"/>
  <c r="BW22" i="1"/>
  <c r="BX22" i="1" s="1"/>
  <c r="BW24" i="1"/>
  <c r="BX24" i="1" s="1"/>
  <c r="BW26" i="1"/>
  <c r="BX26" i="1" s="1"/>
  <c r="BW25" i="1"/>
  <c r="BX25" i="1" s="1"/>
  <c r="BW36" i="1"/>
  <c r="BX36" i="1" s="1"/>
  <c r="BW7" i="1"/>
  <c r="BX7" i="1" s="1"/>
  <c r="BW39" i="1"/>
  <c r="BX39" i="1" s="1"/>
  <c r="BW14" i="1"/>
  <c r="BX14" i="1" s="1"/>
  <c r="BW6" i="1"/>
  <c r="BX6" i="1" s="1"/>
  <c r="BW17" i="1"/>
  <c r="BX17" i="1" s="1"/>
  <c r="BW19" i="1"/>
  <c r="BX19" i="1" s="1"/>
  <c r="BW30" i="1"/>
  <c r="BX30" i="1" s="1"/>
  <c r="BW33" i="1"/>
  <c r="BX33" i="1" s="1"/>
  <c r="BW40" i="1"/>
  <c r="BX40" i="1" s="1"/>
  <c r="BW44" i="1"/>
  <c r="BX44" i="1" s="1"/>
  <c r="BW28" i="1"/>
  <c r="BX28" i="1" s="1"/>
  <c r="BW41" i="1"/>
  <c r="BX41" i="1" s="1"/>
  <c r="BW11" i="1"/>
  <c r="BX11" i="1" s="1"/>
  <c r="BW45" i="1"/>
  <c r="BX45" i="1" s="1"/>
  <c r="BW5" i="1"/>
  <c r="BX5" i="1" s="1"/>
  <c r="BP8" i="1"/>
  <c r="BQ8" i="1" s="1"/>
  <c r="BP9" i="1"/>
  <c r="BQ9" i="1" s="1"/>
  <c r="BP28" i="1"/>
  <c r="BQ28" i="1" s="1"/>
  <c r="BP22" i="1"/>
  <c r="BQ22" i="1" s="1"/>
  <c r="BP31" i="1"/>
  <c r="BQ31" i="1" s="1"/>
  <c r="BP6" i="1"/>
  <c r="BQ6" i="1" s="1"/>
  <c r="BP17" i="1"/>
  <c r="BQ17" i="1" s="1"/>
  <c r="BP19" i="1"/>
  <c r="BQ19" i="1" s="1"/>
  <c r="BP5" i="1"/>
  <c r="BQ5" i="1" s="1"/>
  <c r="BP20" i="1"/>
  <c r="BQ20" i="1" s="1"/>
  <c r="BP7" i="1"/>
  <c r="BQ7" i="1" s="1"/>
  <c r="BP30" i="1"/>
  <c r="BQ30" i="1" s="1"/>
  <c r="BP32" i="1"/>
  <c r="BQ32" i="1" s="1"/>
  <c r="BP27" i="1"/>
  <c r="BQ27" i="1" s="1"/>
  <c r="BP26" i="1"/>
  <c r="BQ26" i="1" s="1"/>
  <c r="BP16" i="1"/>
  <c r="BQ16" i="1" s="1"/>
  <c r="BP33" i="1"/>
  <c r="BQ33" i="1" s="1"/>
  <c r="BP12" i="1"/>
  <c r="BQ12" i="1" s="1"/>
  <c r="BP23" i="1"/>
  <c r="BQ23" i="1" s="1"/>
  <c r="BP11" i="1"/>
  <c r="BQ11" i="1" s="1"/>
  <c r="BP13" i="1"/>
  <c r="BQ13" i="1" s="1"/>
  <c r="BP25" i="1"/>
  <c r="BQ25" i="1" s="1"/>
  <c r="BP14" i="1"/>
  <c r="BQ14" i="1" s="1"/>
  <c r="BP10" i="1"/>
  <c r="BQ10" i="1" s="1"/>
  <c r="BP29" i="1"/>
  <c r="BQ29" i="1" s="1"/>
  <c r="BP21" i="1"/>
  <c r="BQ21" i="1" s="1"/>
  <c r="BP24" i="1"/>
  <c r="BQ24" i="1" s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22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80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45" i="1"/>
  <c r="C14" i="1"/>
  <c r="C15" i="1"/>
  <c r="C16" i="1"/>
  <c r="C17" i="1"/>
  <c r="C174" i="1" s="1"/>
  <c r="D174" i="1" s="1"/>
  <c r="C18" i="1"/>
  <c r="C13" i="1"/>
  <c r="C12" i="1"/>
  <c r="C169" i="1" s="1"/>
  <c r="D169" i="1" s="1"/>
  <c r="C11" i="1"/>
  <c r="C10" i="1"/>
  <c r="C9" i="1"/>
  <c r="C166" i="1" s="1"/>
  <c r="D166" i="1" s="1"/>
  <c r="C8" i="1"/>
  <c r="C7" i="1"/>
  <c r="C164" i="1" s="1"/>
  <c r="D164" i="1" s="1"/>
  <c r="C6" i="1"/>
  <c r="C163" i="1" s="1"/>
  <c r="D163" i="1" s="1"/>
  <c r="C5" i="1"/>
  <c r="C162" i="1" s="1"/>
  <c r="D162" i="1" s="1"/>
  <c r="C170" i="1" l="1"/>
  <c r="D170" i="1" s="1"/>
  <c r="C165" i="1"/>
  <c r="D165" i="1" s="1"/>
  <c r="C167" i="1"/>
  <c r="D167" i="1" s="1"/>
  <c r="C171" i="1"/>
  <c r="D171" i="1" s="1"/>
  <c r="C168" i="1"/>
  <c r="D168" i="1" s="1"/>
  <c r="C173" i="1"/>
  <c r="D173" i="1" s="1"/>
  <c r="C172" i="1"/>
  <c r="D172" i="1" s="1"/>
  <c r="C175" i="1"/>
  <c r="D175" i="1" s="1"/>
</calcChain>
</file>

<file path=xl/comments1.xml><?xml version="1.0" encoding="utf-8"?>
<comments xmlns="http://schemas.openxmlformats.org/spreadsheetml/2006/main">
  <authors>
    <author>German Andres Calberto Sanchez</author>
  </authors>
  <commentList>
    <comment ref="AQ125" authorId="0" shapeId="0">
      <text>
        <r>
          <rPr>
            <b/>
            <sz val="9"/>
            <color indexed="81"/>
            <rFont val="Tahoma"/>
            <charset val="1"/>
          </rPr>
          <t>5-10 días</t>
        </r>
      </text>
    </comment>
  </commentList>
</comments>
</file>

<file path=xl/sharedStrings.xml><?xml version="1.0" encoding="utf-8"?>
<sst xmlns="http://schemas.openxmlformats.org/spreadsheetml/2006/main" count="3310" uniqueCount="115">
  <si>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</si>
  <si>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</si>
  <si>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</si>
  <si>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</si>
  <si>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</si>
  <si>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</si>
  <si>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</si>
  <si>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</si>
  <si>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</si>
  <si>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</si>
  <si>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</si>
  <si>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</si>
  <si>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Sensor</t>
  </si>
  <si>
    <t>Temp.</t>
  </si>
  <si>
    <t>Humedad</t>
  </si>
  <si>
    <t>CO2</t>
  </si>
  <si>
    <t>484E</t>
  </si>
  <si>
    <t>0DDA</t>
  </si>
  <si>
    <t>48C6</t>
  </si>
  <si>
    <t>532E</t>
  </si>
  <si>
    <t>A37E</t>
  </si>
  <si>
    <t>2BBA</t>
  </si>
  <si>
    <t>36FA</t>
  </si>
  <si>
    <t>1FCA</t>
  </si>
  <si>
    <t>14D6</t>
  </si>
  <si>
    <t>4D7A</t>
  </si>
  <si>
    <t>2FF6</t>
  </si>
  <si>
    <t>1CE2</t>
  </si>
  <si>
    <t>Sensores 2025</t>
  </si>
  <si>
    <t>F1AE</t>
  </si>
  <si>
    <t>307A</t>
  </si>
  <si>
    <t>1DE2</t>
  </si>
  <si>
    <t>06BE</t>
  </si>
  <si>
    <t>FAC6</t>
  </si>
  <si>
    <t xml:space="preserve">SI </t>
  </si>
  <si>
    <t>SI</t>
  </si>
  <si>
    <t>1C1E</t>
  </si>
  <si>
    <t>2EC6</t>
  </si>
  <si>
    <t>5E5E</t>
  </si>
  <si>
    <t>EA06</t>
  </si>
  <si>
    <t>2E9A</t>
  </si>
  <si>
    <t>1EE6</t>
  </si>
  <si>
    <t>333E</t>
  </si>
  <si>
    <t>1A1E</t>
  </si>
  <si>
    <t>375E</t>
  </si>
  <si>
    <t>2B42</t>
  </si>
  <si>
    <t>F212</t>
  </si>
  <si>
    <t>D89A</t>
  </si>
  <si>
    <t>65F2</t>
  </si>
  <si>
    <t>4B1A</t>
  </si>
  <si>
    <t>25CE</t>
  </si>
  <si>
    <t>DD66</t>
  </si>
  <si>
    <t>E752</t>
  </si>
  <si>
    <t>260A</t>
  </si>
  <si>
    <t>422A</t>
  </si>
  <si>
    <t>421A</t>
  </si>
  <si>
    <t>3BEA</t>
  </si>
  <si>
    <t>39D6</t>
  </si>
  <si>
    <t>2BDE</t>
  </si>
  <si>
    <t>D282</t>
  </si>
  <si>
    <t>3B7E</t>
  </si>
  <si>
    <t>D2DA</t>
  </si>
  <si>
    <t>5D62</t>
  </si>
  <si>
    <t>BA3E</t>
  </si>
  <si>
    <t>79CA</t>
  </si>
  <si>
    <t>B7BE</t>
  </si>
  <si>
    <t>A682</t>
  </si>
  <si>
    <t>ADD6</t>
  </si>
  <si>
    <t>157E</t>
  </si>
  <si>
    <t>BCC6</t>
  </si>
  <si>
    <t>25F2</t>
  </si>
  <si>
    <t>CA62</t>
  </si>
  <si>
    <t>298A</t>
  </si>
  <si>
    <t>25BE</t>
  </si>
  <si>
    <t>B9CA</t>
  </si>
  <si>
    <t>C17E</t>
  </si>
  <si>
    <t>BD5E</t>
  </si>
  <si>
    <t>211E</t>
  </si>
  <si>
    <t>DIR6</t>
  </si>
  <si>
    <t>A43A</t>
  </si>
  <si>
    <t>Coordenadas</t>
  </si>
  <si>
    <t>3.4847, -76,5026</t>
  </si>
  <si>
    <t>3.3996, -76.5342</t>
  </si>
  <si>
    <t>3.4669, -76.5205</t>
  </si>
  <si>
    <t>3.335, -76.5273</t>
  </si>
  <si>
    <t>3.3433, -76.5246</t>
  </si>
  <si>
    <t>3.3364, -76.5424</t>
  </si>
  <si>
    <t>3.3982, -76.526</t>
  </si>
  <si>
    <t>3.5191, -76.5205</t>
  </si>
  <si>
    <t>3.471, -76.5136</t>
  </si>
  <si>
    <t>3.3996, -76.4312</t>
  </si>
  <si>
    <t>3.3817, -76.5589</t>
  </si>
  <si>
    <t>3.3762, -76.5548</t>
  </si>
  <si>
    <t>3.4518, -76.4999</t>
  </si>
  <si>
    <t>3.4106, -76.5232</t>
  </si>
  <si>
    <t>Meses de registro</t>
  </si>
  <si>
    <t xml:space="preserve">% de registro </t>
  </si>
  <si>
    <t>Sensores</t>
  </si>
  <si>
    <t xml:space="preserve">Meses de registro </t>
  </si>
  <si>
    <t>Feb</t>
  </si>
  <si>
    <t>Mar</t>
  </si>
  <si>
    <t>Abr</t>
  </si>
  <si>
    <t>Ene</t>
  </si>
  <si>
    <t xml:space="preserve">May </t>
  </si>
  <si>
    <t>Jun</t>
  </si>
  <si>
    <t xml:space="preserve">Jul </t>
  </si>
  <si>
    <t>Ago</t>
  </si>
  <si>
    <t>Sep</t>
  </si>
  <si>
    <t>Oct</t>
  </si>
  <si>
    <t>Nov</t>
  </si>
  <si>
    <t>Dic</t>
  </si>
  <si>
    <t>Cantidad</t>
  </si>
  <si>
    <t xml:space="preserve">% anual de registro </t>
  </si>
  <si>
    <t>Meses</t>
  </si>
  <si>
    <t>Total sensores regidtrados 2022-2025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</si>
</sst>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9" fontId="5" fillId="0" borderId="0" applyFont="0" applyFill="0" applyBorder="0" applyAlignment="0" applyProtection="0"/>
  </cellStyleXfs>
  <cellXfs count="20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/>
    <xf numFmtId="0" fontId="0" fillId="8" borderId="4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8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0" fillId="8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5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4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2" fillId="9" borderId="13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7" borderId="4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5" borderId="6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0" fillId="0" borderId="17" xfId="2" applyNumberFormat="1" applyFont="1" applyBorder="1" applyAlignment="1">
      <alignment horizontal="center" vertical="center"/>
    </xf>
    <xf numFmtId="164" fontId="0" fillId="0" borderId="9" xfId="2" applyNumberFormat="1" applyFont="1" applyBorder="1" applyAlignment="1">
      <alignment horizontal="center" vertical="center"/>
    </xf>
    <xf numFmtId="164" fontId="0" fillId="0" borderId="10" xfId="2" applyNumberFormat="1" applyFont="1" applyBorder="1" applyAlignment="1">
      <alignment horizontal="center" vertical="center"/>
    </xf>
    <xf numFmtId="0" fontId="0" fillId="21" borderId="9" xfId="0" applyFill="1" applyBorder="1" applyAlignment="1">
      <alignment horizontal="center"/>
    </xf>
    <xf numFmtId="0" fontId="0" fillId="21" borderId="10" xfId="0" applyFill="1" applyBorder="1" applyAlignment="1">
      <alignment horizontal="center"/>
    </xf>
    <xf numFmtId="0" fontId="3" fillId="2" borderId="3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2" borderId="3" xfId="1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2" borderId="3" xfId="1" applyFont="1" applyBorder="1" applyAlignment="1">
      <alignment vertical="center"/>
    </xf>
    <xf numFmtId="0" fontId="0" fillId="6" borderId="9" xfId="0" applyFill="1" applyBorder="1" applyAlignment="1">
      <alignment horizontal="center"/>
    </xf>
    <xf numFmtId="0" fontId="0" fillId="22" borderId="9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9" fontId="0" fillId="0" borderId="16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3" xfId="0" applyFont="1" applyFill="1" applyBorder="1" applyAlignment="1">
      <alignment horizontal="center" wrapText="1"/>
    </xf>
    <xf numFmtId="0" fontId="0" fillId="0" borderId="15" xfId="0" applyBorder="1"/>
    <xf numFmtId="9" fontId="0" fillId="0" borderId="17" xfId="2" applyFont="1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9" borderId="9" xfId="0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10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12" borderId="5" xfId="0" applyFill="1" applyBorder="1" applyAlignment="1">
      <alignment horizontal="center"/>
    </xf>
  </cellXfs>
  <cellStyles count="3">
    <cellStyle name="Entrada" xfId="1" builtinId="20"/>
    <cellStyle name="Normal" xfId="0" builtinId="0"/>
    <cellStyle name="Porcentaje" xfId="2" builtinId="5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u val="none"/>
      </font>
      <fill>
        <patternFill>
          <bgColor theme="9" tint="0.39994506668294322"/>
        </patternFill>
      </fill>
    </dxf>
    <dxf>
      <font>
        <u val="none"/>
      </font>
      <fill>
        <patternFill>
          <bgColor theme="9" tint="0.39994506668294322"/>
        </patternFill>
      </fill>
    </dxf>
    <dxf>
      <font>
        <u val="none"/>
      </font>
      <fill>
        <patternFill>
          <bgColor theme="9" tint="0.39994506668294322"/>
        </patternFill>
      </fill>
    </dxf>
    <dxf>
      <font>
        <u val="none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CN191"/>
  <sheetViews>
    <sheetView showGridLines="0" tabSelected="1" zoomScale="60" zoomScaleNormal="60" workbookViewId="0">
      <pane xSplit="1" topLeftCell="BG1" activePane="topRight" state="frozen"/>
      <selection pane="topRight" activeCell="BQ95" sqref="BQ95"/>
    </sheetView>
  </sheetViews>
  <sheetFormatPr baseColWidth="10" defaultRowHeight="15" x14ac:dyDescent="0.25"/>
  <cols>
    <col min="1" max="3" width="18.5703125" customWidth="1"/>
    <col min="4" max="4" width="14.85546875" customWidth="1"/>
    <col min="55" max="55" width="17.7109375" customWidth="1"/>
    <col min="56" max="56" width="12.140625" customWidth="1"/>
    <col min="57" max="57" width="18.140625" customWidth="1"/>
    <col min="67" max="67" width="29" customWidth="1"/>
    <col min="68" max="68" width="30" customWidth="1"/>
    <col min="70" max="70" width="14.5703125" customWidth="1"/>
    <col min="71" max="71" width="17.7109375" customWidth="1"/>
    <col min="72" max="72" width="5" customWidth="1"/>
    <col min="73" max="73" width="5.42578125" customWidth="1"/>
    <col min="74" max="74" width="12.85546875" customWidth="1"/>
    <col min="79" max="79" width="6.7109375" customWidth="1"/>
    <col min="80" max="80" width="5" customWidth="1"/>
    <col min="81" max="81" width="12.5703125" customWidth="1"/>
    <col min="86" max="86" width="6.140625" customWidth="1"/>
    <col min="87" max="87" width="7.140625" customWidth="1"/>
    <col min="88" max="88" width="13.140625" customWidth="1"/>
    <col min="91" max="91" width="13.140625" customWidth="1"/>
  </cols>
  <sheetData>
    <row r="2" spans="1:92" ht="18.75" x14ac:dyDescent="0.25">
      <c r="D2" s="125">
        <v>2022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</row>
    <row r="3" spans="1:92" x14ac:dyDescent="0.25">
      <c r="D3" s="129" t="s">
        <v>0</v>
      </c>
      <c r="E3" s="130"/>
      <c r="F3" s="130"/>
      <c r="G3" s="131"/>
      <c r="H3" s="126" t="s">
        <v>1</v>
      </c>
      <c r="I3" s="127"/>
      <c r="J3" s="127"/>
      <c r="K3" s="128"/>
      <c r="L3" s="126" t="s">
        <v>2</v>
      </c>
      <c r="M3" s="127"/>
      <c r="N3" s="127"/>
      <c r="O3" s="128"/>
      <c r="P3" s="126" t="s">
        <v>3</v>
      </c>
      <c r="Q3" s="127"/>
      <c r="R3" s="127"/>
      <c r="S3" s="127"/>
      <c r="T3" s="126" t="s">
        <v>4</v>
      </c>
      <c r="U3" s="127"/>
      <c r="V3" s="127"/>
      <c r="W3" s="128"/>
      <c r="X3" s="127" t="s">
        <v>5</v>
      </c>
      <c r="Y3" s="127"/>
      <c r="Z3" s="127"/>
      <c r="AA3" s="127"/>
      <c r="AB3" s="126" t="s">
        <v>6</v>
      </c>
      <c r="AC3" s="127"/>
      <c r="AD3" s="127"/>
      <c r="AE3" s="128"/>
      <c r="AF3" s="127" t="s">
        <v>7</v>
      </c>
      <c r="AG3" s="127"/>
      <c r="AH3" s="127"/>
      <c r="AI3" s="127"/>
      <c r="AJ3" s="126" t="s">
        <v>8</v>
      </c>
      <c r="AK3" s="127"/>
      <c r="AL3" s="127"/>
      <c r="AM3" s="128"/>
      <c r="AN3" s="127" t="s">
        <v>9</v>
      </c>
      <c r="AO3" s="127"/>
      <c r="AP3" s="127"/>
      <c r="AQ3" s="128"/>
      <c r="AR3" s="126" t="s">
        <v>10</v>
      </c>
      <c r="AS3" s="127"/>
      <c r="AT3" s="127"/>
      <c r="AU3" s="128"/>
      <c r="AV3" s="126" t="s">
        <v>11</v>
      </c>
      <c r="AW3" s="127"/>
      <c r="AX3" s="127"/>
      <c r="AY3" s="128"/>
      <c r="BB3" s="153">
        <v>2022</v>
      </c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62"/>
      <c r="BO3" s="129">
        <v>2022</v>
      </c>
      <c r="BP3" s="130"/>
      <c r="BQ3" s="130"/>
      <c r="BR3" s="131"/>
      <c r="BS3" s="161" t="s">
        <v>113</v>
      </c>
      <c r="BV3" s="129">
        <v>2023</v>
      </c>
      <c r="BW3" s="130"/>
      <c r="BX3" s="130"/>
      <c r="BY3" s="131"/>
      <c r="BZ3" s="161" t="s">
        <v>113</v>
      </c>
      <c r="CC3" s="129">
        <v>2024</v>
      </c>
      <c r="CD3" s="130"/>
      <c r="CE3" s="130"/>
      <c r="CF3" s="131"/>
      <c r="CG3" s="161" t="s">
        <v>113</v>
      </c>
      <c r="CJ3" s="129">
        <v>2025</v>
      </c>
      <c r="CK3" s="130"/>
      <c r="CL3" s="130"/>
      <c r="CM3" s="131"/>
      <c r="CN3" s="161" t="s">
        <v>113</v>
      </c>
    </row>
    <row r="4" spans="1:92" ht="30" x14ac:dyDescent="0.25">
      <c r="A4" s="26" t="s">
        <v>28</v>
      </c>
      <c r="B4" s="26" t="s">
        <v>80</v>
      </c>
      <c r="C4" s="106" t="s">
        <v>95</v>
      </c>
      <c r="D4" s="96" t="s">
        <v>12</v>
      </c>
      <c r="E4" s="96" t="s">
        <v>13</v>
      </c>
      <c r="F4" s="96" t="s">
        <v>14</v>
      </c>
      <c r="G4" s="84" t="s">
        <v>15</v>
      </c>
      <c r="H4" s="108" t="s">
        <v>12</v>
      </c>
      <c r="I4" s="108" t="s">
        <v>13</v>
      </c>
      <c r="J4" s="108" t="s">
        <v>14</v>
      </c>
      <c r="K4" s="146" t="s">
        <v>15</v>
      </c>
      <c r="L4" s="107" t="s">
        <v>12</v>
      </c>
      <c r="M4" s="108" t="s">
        <v>13</v>
      </c>
      <c r="N4" s="108" t="s">
        <v>14</v>
      </c>
      <c r="O4" s="84" t="s">
        <v>15</v>
      </c>
      <c r="P4" s="108" t="s">
        <v>12</v>
      </c>
      <c r="Q4" s="108" t="s">
        <v>13</v>
      </c>
      <c r="R4" s="108" t="s">
        <v>14</v>
      </c>
      <c r="S4" s="108" t="s">
        <v>15</v>
      </c>
      <c r="T4" s="107" t="s">
        <v>12</v>
      </c>
      <c r="U4" s="108" t="s">
        <v>13</v>
      </c>
      <c r="V4" s="108" t="s">
        <v>14</v>
      </c>
      <c r="W4" s="109" t="s">
        <v>15</v>
      </c>
      <c r="X4" s="108" t="s">
        <v>12</v>
      </c>
      <c r="Y4" s="108" t="s">
        <v>13</v>
      </c>
      <c r="Z4" s="108" t="s">
        <v>14</v>
      </c>
      <c r="AA4" s="108" t="s">
        <v>15</v>
      </c>
      <c r="AB4" s="107" t="s">
        <v>12</v>
      </c>
      <c r="AC4" s="108" t="s">
        <v>13</v>
      </c>
      <c r="AD4" s="108" t="s">
        <v>14</v>
      </c>
      <c r="AE4" s="109" t="s">
        <v>15</v>
      </c>
      <c r="AF4" s="108" t="s">
        <v>12</v>
      </c>
      <c r="AG4" s="108" t="s">
        <v>13</v>
      </c>
      <c r="AH4" s="108" t="s">
        <v>14</v>
      </c>
      <c r="AI4" s="108" t="s">
        <v>15</v>
      </c>
      <c r="AJ4" s="107" t="s">
        <v>12</v>
      </c>
      <c r="AK4" s="108" t="s">
        <v>13</v>
      </c>
      <c r="AL4" s="108" t="s">
        <v>14</v>
      </c>
      <c r="AM4" s="109" t="s">
        <v>15</v>
      </c>
      <c r="AN4" s="108" t="s">
        <v>12</v>
      </c>
      <c r="AO4" s="108" t="s">
        <v>13</v>
      </c>
      <c r="AP4" s="108" t="s">
        <v>14</v>
      </c>
      <c r="AQ4" s="108" t="s">
        <v>15</v>
      </c>
      <c r="AR4" s="107" t="s">
        <v>12</v>
      </c>
      <c r="AS4" s="108" t="s">
        <v>13</v>
      </c>
      <c r="AT4" s="108" t="s">
        <v>14</v>
      </c>
      <c r="AU4" s="109" t="s">
        <v>15</v>
      </c>
      <c r="AV4" s="108" t="s">
        <v>12</v>
      </c>
      <c r="AW4" s="108" t="s">
        <v>13</v>
      </c>
      <c r="AX4" s="108" t="s">
        <v>14</v>
      </c>
      <c r="AY4" s="109" t="s">
        <v>15</v>
      </c>
      <c r="BB4" s="150" t="s">
        <v>102</v>
      </c>
      <c r="BC4" s="150" t="s">
        <v>99</v>
      </c>
      <c r="BD4" s="150" t="s">
        <v>100</v>
      </c>
      <c r="BE4" s="150" t="s">
        <v>101</v>
      </c>
      <c r="BF4" s="26" t="s">
        <v>103</v>
      </c>
      <c r="BG4" s="26" t="s">
        <v>104</v>
      </c>
      <c r="BH4" s="26" t="s">
        <v>105</v>
      </c>
      <c r="BI4" s="119" t="s">
        <v>106</v>
      </c>
      <c r="BJ4" s="119" t="s">
        <v>107</v>
      </c>
      <c r="BK4" s="119" t="s">
        <v>108</v>
      </c>
      <c r="BL4" s="119" t="s">
        <v>109</v>
      </c>
      <c r="BM4" s="119" t="s">
        <v>110</v>
      </c>
      <c r="BN4" s="156"/>
      <c r="BO4" s="165" t="s">
        <v>97</v>
      </c>
      <c r="BP4" s="173" t="s">
        <v>98</v>
      </c>
      <c r="BQ4" s="166" t="s">
        <v>112</v>
      </c>
      <c r="BR4" s="167" t="s">
        <v>111</v>
      </c>
      <c r="BS4" s="96">
        <v>12</v>
      </c>
      <c r="BV4" s="163" t="s">
        <v>97</v>
      </c>
      <c r="BW4" s="164" t="s">
        <v>98</v>
      </c>
      <c r="BX4" s="166" t="s">
        <v>112</v>
      </c>
      <c r="BY4" s="167" t="s">
        <v>111</v>
      </c>
      <c r="BZ4" s="161">
        <v>12</v>
      </c>
      <c r="CC4" s="163" t="s">
        <v>97</v>
      </c>
      <c r="CD4" s="164" t="s">
        <v>98</v>
      </c>
      <c r="CE4" s="166" t="s">
        <v>112</v>
      </c>
      <c r="CF4" s="167" t="s">
        <v>111</v>
      </c>
      <c r="CG4" s="161">
        <v>12</v>
      </c>
      <c r="CJ4" s="192" t="s">
        <v>97</v>
      </c>
      <c r="CK4" s="193" t="s">
        <v>98</v>
      </c>
      <c r="CL4" s="194" t="s">
        <v>112</v>
      </c>
      <c r="CM4" s="195" t="s">
        <v>111</v>
      </c>
      <c r="CN4" s="161">
        <v>12</v>
      </c>
    </row>
    <row r="5" spans="1:92" x14ac:dyDescent="0.25">
      <c r="A5" s="105" t="s">
        <v>24</v>
      </c>
      <c r="B5" s="110" t="s">
        <v>81</v>
      </c>
      <c r="C5" s="141">
        <f t="shared" ref="C5:C13" si="0">COUNTIF($D$5:$AY$25,A5)</f>
        <v>11</v>
      </c>
      <c r="D5" s="140">
        <v>2692</v>
      </c>
      <c r="E5" s="97"/>
      <c r="F5" s="97"/>
      <c r="G5" s="4"/>
      <c r="H5" s="39" t="s">
        <v>22</v>
      </c>
      <c r="I5" s="3"/>
      <c r="J5" s="3"/>
      <c r="K5" s="3"/>
      <c r="L5" s="2" t="s">
        <v>16</v>
      </c>
      <c r="M5" s="3"/>
      <c r="N5" s="3"/>
      <c r="O5" s="4"/>
      <c r="P5" s="3" t="s">
        <v>16</v>
      </c>
      <c r="Q5" s="3"/>
      <c r="R5" s="3"/>
      <c r="S5" s="3"/>
      <c r="T5" s="12" t="s">
        <v>16</v>
      </c>
      <c r="U5" s="13"/>
      <c r="V5" s="13"/>
      <c r="W5" s="14"/>
      <c r="X5" s="13" t="s">
        <v>17</v>
      </c>
      <c r="Y5" s="13" t="s">
        <v>35</v>
      </c>
      <c r="Z5" s="13" t="s">
        <v>35</v>
      </c>
      <c r="AA5" s="13"/>
      <c r="AB5" s="12" t="s">
        <v>19</v>
      </c>
      <c r="AC5" s="13" t="s">
        <v>35</v>
      </c>
      <c r="AD5" s="13" t="s">
        <v>35</v>
      </c>
      <c r="AE5" s="14"/>
      <c r="AF5" s="13" t="s">
        <v>18</v>
      </c>
      <c r="AG5" s="13" t="s">
        <v>35</v>
      </c>
      <c r="AH5" s="13" t="s">
        <v>35</v>
      </c>
      <c r="AI5" s="13"/>
      <c r="AJ5" s="12" t="s">
        <v>18</v>
      </c>
      <c r="AK5" s="13" t="s">
        <v>35</v>
      </c>
      <c r="AL5" s="13" t="s">
        <v>35</v>
      </c>
      <c r="AM5" s="14"/>
      <c r="AN5" s="13" t="s">
        <v>18</v>
      </c>
      <c r="AO5" s="13" t="s">
        <v>35</v>
      </c>
      <c r="AP5" s="13" t="s">
        <v>35</v>
      </c>
      <c r="AQ5" s="13"/>
      <c r="AR5" s="12" t="s">
        <v>18</v>
      </c>
      <c r="AS5" s="13" t="s">
        <v>35</v>
      </c>
      <c r="AT5" s="13" t="s">
        <v>35</v>
      </c>
      <c r="AU5" s="14"/>
      <c r="AV5" s="13" t="s">
        <v>18</v>
      </c>
      <c r="AW5" s="13" t="s">
        <v>35</v>
      </c>
      <c r="AX5" s="13" t="s">
        <v>35</v>
      </c>
      <c r="AY5" s="14"/>
      <c r="BA5" s="149"/>
      <c r="BB5" s="154">
        <f>D5</f>
        <v>2692</v>
      </c>
      <c r="BC5" s="155" t="str">
        <f>H5</f>
        <v>36FA</v>
      </c>
      <c r="BD5" s="155" t="str">
        <f>L5</f>
        <v>484E</v>
      </c>
      <c r="BE5" s="49" t="str">
        <f>P5</f>
        <v>484E</v>
      </c>
      <c r="BF5" s="49" t="str">
        <f>T5</f>
        <v>484E</v>
      </c>
      <c r="BG5" s="49" t="str">
        <f>X5</f>
        <v>0DDA</v>
      </c>
      <c r="BH5" s="49" t="str">
        <f>AB5</f>
        <v>532E</v>
      </c>
      <c r="BI5" s="49" t="str">
        <f>AF5</f>
        <v>48C6</v>
      </c>
      <c r="BJ5" s="49" t="str">
        <f>AJ5</f>
        <v>48C6</v>
      </c>
      <c r="BK5" s="49" t="str">
        <f>AN5</f>
        <v>48C6</v>
      </c>
      <c r="BL5" s="49" t="str">
        <f>AR5</f>
        <v>48C6</v>
      </c>
      <c r="BM5" s="50" t="str">
        <f>AV5</f>
        <v>48C6</v>
      </c>
      <c r="BN5" s="97"/>
      <c r="BO5" s="155">
        <v>2692</v>
      </c>
      <c r="BP5" s="4">
        <f>COUNTIF($BB$5:$BM$34,BO5)</f>
        <v>2</v>
      </c>
      <c r="BQ5" s="168">
        <f>BP5/$BS$4</f>
        <v>0.16666666666666666</v>
      </c>
      <c r="BR5" s="50">
        <v>1</v>
      </c>
      <c r="BS5" s="158" t="str">
        <f>IF(BP5&gt;=9,(VLOOKUP(BO5,$A$4:$B$18,1,FALSE)),"")</f>
        <v/>
      </c>
      <c r="BV5" s="154">
        <v>1106</v>
      </c>
      <c r="BW5" s="154">
        <f>COUNTIF($BB$45:$BM$74,BV5)</f>
        <v>3</v>
      </c>
      <c r="BX5" s="168">
        <f>BW5/$BZ$4</f>
        <v>0.25</v>
      </c>
      <c r="BY5" s="154">
        <v>1</v>
      </c>
      <c r="BZ5" s="158" t="str">
        <f>IF(BW5&gt;=9,(VLOOKUP(BV5,$A$44:$B$58,1,FALSE)),"")</f>
        <v/>
      </c>
      <c r="CC5" s="157">
        <v>1106</v>
      </c>
      <c r="CD5" s="158">
        <f>COUNTIF($BB$80:$BM$116,CC5)</f>
        <v>11</v>
      </c>
      <c r="CE5" s="175">
        <f>CD5/$CG$4</f>
        <v>0.91666666666666663</v>
      </c>
      <c r="CF5" s="155">
        <v>22</v>
      </c>
      <c r="CG5" s="158" t="e">
        <f>IF(CD5&gt;=9,(VLOOKUP(CC5,$A$79:$B$93,1,FALSE)),"")</f>
        <v>#N/A</v>
      </c>
      <c r="CJ5" s="184">
        <v>1712</v>
      </c>
      <c r="CK5" s="158">
        <f>COUNTIF($BB$122:$BM$158,CJ5)</f>
        <v>12</v>
      </c>
      <c r="CL5" s="175">
        <f>CK5/$CG$4</f>
        <v>1</v>
      </c>
      <c r="CM5" s="155">
        <v>8</v>
      </c>
      <c r="CN5" s="170">
        <f>IF(CK5&gt;=9,(VLOOKUP(CJ5,$A$121:$B$135,1,FALSE)),"")</f>
        <v>1712</v>
      </c>
    </row>
    <row r="6" spans="1:92" x14ac:dyDescent="0.25">
      <c r="A6" s="21" t="s">
        <v>26</v>
      </c>
      <c r="B6" s="21" t="s">
        <v>82</v>
      </c>
      <c r="C6" s="141">
        <f t="shared" si="0"/>
        <v>8</v>
      </c>
      <c r="D6" s="97" t="s">
        <v>16</v>
      </c>
      <c r="E6" s="97"/>
      <c r="F6" s="97"/>
      <c r="G6" s="4"/>
      <c r="H6" s="39" t="s">
        <v>16</v>
      </c>
      <c r="I6" s="3"/>
      <c r="J6" s="3"/>
      <c r="K6" s="3"/>
      <c r="L6" s="2" t="s">
        <v>17</v>
      </c>
      <c r="M6" s="3" t="s">
        <v>35</v>
      </c>
      <c r="N6" s="3" t="s">
        <v>35</v>
      </c>
      <c r="O6" s="4"/>
      <c r="P6" s="3" t="s">
        <v>17</v>
      </c>
      <c r="Q6" s="3" t="s">
        <v>35</v>
      </c>
      <c r="R6" s="3" t="s">
        <v>35</v>
      </c>
      <c r="S6" s="3"/>
      <c r="T6" s="12" t="s">
        <v>17</v>
      </c>
      <c r="U6" s="13" t="s">
        <v>35</v>
      </c>
      <c r="V6" s="13" t="s">
        <v>35</v>
      </c>
      <c r="W6" s="14"/>
      <c r="X6" s="13" t="s">
        <v>18</v>
      </c>
      <c r="Y6" s="13" t="s">
        <v>35</v>
      </c>
      <c r="Z6" s="13" t="s">
        <v>35</v>
      </c>
      <c r="AA6" s="13"/>
      <c r="AB6" s="12" t="s">
        <v>21</v>
      </c>
      <c r="AC6" s="13"/>
      <c r="AD6" s="13" t="s">
        <v>35</v>
      </c>
      <c r="AE6" s="14"/>
      <c r="AF6" s="13" t="s">
        <v>19</v>
      </c>
      <c r="AG6" s="13" t="s">
        <v>35</v>
      </c>
      <c r="AH6" s="13" t="s">
        <v>35</v>
      </c>
      <c r="AI6" s="13"/>
      <c r="AJ6" s="12" t="s">
        <v>19</v>
      </c>
      <c r="AK6" s="13"/>
      <c r="AL6" s="13" t="s">
        <v>35</v>
      </c>
      <c r="AM6" s="14"/>
      <c r="AN6" s="13" t="s">
        <v>19</v>
      </c>
      <c r="AO6" s="13" t="s">
        <v>35</v>
      </c>
      <c r="AP6" s="13" t="s">
        <v>35</v>
      </c>
      <c r="AQ6" s="13"/>
      <c r="AR6" s="12" t="s">
        <v>19</v>
      </c>
      <c r="AS6" s="13" t="s">
        <v>35</v>
      </c>
      <c r="AT6" s="13" t="s">
        <v>35</v>
      </c>
      <c r="AU6" s="14"/>
      <c r="AV6" s="13" t="s">
        <v>19</v>
      </c>
      <c r="AW6" s="13" t="s">
        <v>35</v>
      </c>
      <c r="AX6" s="13" t="s">
        <v>35</v>
      </c>
      <c r="AY6" s="14"/>
      <c r="BA6" s="149"/>
      <c r="BB6" s="12" t="str">
        <f>D6</f>
        <v>484E</v>
      </c>
      <c r="BC6" s="13" t="str">
        <f>H6</f>
        <v>484E</v>
      </c>
      <c r="BD6" s="13" t="str">
        <f>L6</f>
        <v>0DDA</v>
      </c>
      <c r="BE6" s="3" t="str">
        <f>P6</f>
        <v>0DDA</v>
      </c>
      <c r="BF6" s="3" t="str">
        <f>T6</f>
        <v>0DDA</v>
      </c>
      <c r="BG6" s="3" t="str">
        <f>X6</f>
        <v>48C6</v>
      </c>
      <c r="BH6" s="3" t="str">
        <f>AB6</f>
        <v>2BBA</v>
      </c>
      <c r="BI6" s="3" t="str">
        <f>AF6</f>
        <v>532E</v>
      </c>
      <c r="BJ6" s="3" t="str">
        <f>AJ6</f>
        <v>532E</v>
      </c>
      <c r="BK6" s="3" t="str">
        <f>AN6</f>
        <v>532E</v>
      </c>
      <c r="BL6" s="3" t="str">
        <f>AR6</f>
        <v>532E</v>
      </c>
      <c r="BM6" s="4" t="str">
        <f>AV6</f>
        <v>532E</v>
      </c>
      <c r="BN6" s="4"/>
      <c r="BO6" s="13">
        <v>1282</v>
      </c>
      <c r="BP6" s="4">
        <f>COUNTIF($BB$5:$BM$34,BO6)</f>
        <v>2</v>
      </c>
      <c r="BQ6" s="169">
        <f>BP6/$BS$4</f>
        <v>0.16666666666666666</v>
      </c>
      <c r="BR6" s="4">
        <v>2</v>
      </c>
      <c r="BS6" s="159" t="str">
        <f t="shared" ref="BS6:BS34" si="1">IF(BP6&gt;=9,(VLOOKUP(BO6,$A$4:$B$18,1,FALSE)),"")</f>
        <v/>
      </c>
      <c r="BV6" s="12">
        <v>1282</v>
      </c>
      <c r="BW6" s="12">
        <f>COUNTIF($BB$45:$BM$74,BV6)</f>
        <v>6</v>
      </c>
      <c r="BX6" s="169">
        <f>BW6/$BZ$4</f>
        <v>0.5</v>
      </c>
      <c r="BY6" s="12">
        <v>2</v>
      </c>
      <c r="BZ6" s="159" t="str">
        <f t="shared" ref="BZ6:BZ46" si="2">IF(BW6&gt;=9,(VLOOKUP(BV6,$A$44:$B$58,1,FALSE)),"")</f>
        <v/>
      </c>
      <c r="CC6" s="97">
        <v>1282</v>
      </c>
      <c r="CD6" s="159">
        <f>COUNTIF($BB$80:$BM$116,CC6)</f>
        <v>7</v>
      </c>
      <c r="CE6" s="176">
        <f>CD6/$CG$4</f>
        <v>0.58333333333333337</v>
      </c>
      <c r="CF6" s="13">
        <v>19</v>
      </c>
      <c r="CG6" s="159" t="str">
        <f t="shared" ref="CG6:CG51" si="3">IF(CD6&gt;=9,(VLOOKUP(CC6,$A$79:$B$93,1,FALSE)),"")</f>
        <v/>
      </c>
      <c r="CJ6" s="159">
        <v>2492</v>
      </c>
      <c r="CK6" s="159">
        <f>COUNTIF($BB$122:$BM$158,CJ6)</f>
        <v>9</v>
      </c>
      <c r="CL6" s="176">
        <f>CK6/$CG$4</f>
        <v>0.75</v>
      </c>
      <c r="CM6" s="13">
        <v>4</v>
      </c>
      <c r="CN6" s="14" t="e">
        <f t="shared" ref="CN6:CN34" si="4">IF(CK6&gt;=9,(VLOOKUP(CJ6,$A$121:$B$135,1,FALSE)),"")</f>
        <v>#N/A</v>
      </c>
    </row>
    <row r="7" spans="1:92" x14ac:dyDescent="0.25">
      <c r="A7" s="22" t="s">
        <v>29</v>
      </c>
      <c r="B7" s="22" t="s">
        <v>83</v>
      </c>
      <c r="C7" s="141">
        <f t="shared" si="0"/>
        <v>5</v>
      </c>
      <c r="D7" s="97" t="s">
        <v>17</v>
      </c>
      <c r="E7" s="97" t="s">
        <v>34</v>
      </c>
      <c r="F7" s="97" t="s">
        <v>35</v>
      </c>
      <c r="G7" s="4"/>
      <c r="H7" s="39" t="s">
        <v>17</v>
      </c>
      <c r="I7" s="3" t="s">
        <v>35</v>
      </c>
      <c r="J7" s="3" t="s">
        <v>35</v>
      </c>
      <c r="K7" s="3"/>
      <c r="L7" s="2" t="s">
        <v>18</v>
      </c>
      <c r="M7" s="3" t="s">
        <v>35</v>
      </c>
      <c r="N7" s="3" t="s">
        <v>35</v>
      </c>
      <c r="O7" s="4"/>
      <c r="P7" s="3" t="s">
        <v>18</v>
      </c>
      <c r="Q7" s="3" t="s">
        <v>35</v>
      </c>
      <c r="R7" s="3" t="s">
        <v>35</v>
      </c>
      <c r="S7" s="3"/>
      <c r="T7" s="12" t="s">
        <v>18</v>
      </c>
      <c r="U7" s="13" t="s">
        <v>35</v>
      </c>
      <c r="V7" s="13" t="s">
        <v>35</v>
      </c>
      <c r="W7" s="14"/>
      <c r="X7" s="13" t="s">
        <v>19</v>
      </c>
      <c r="Y7" s="13" t="s">
        <v>35</v>
      </c>
      <c r="Z7" s="13" t="s">
        <v>35</v>
      </c>
      <c r="AA7" s="13"/>
      <c r="AB7" s="12" t="s">
        <v>23</v>
      </c>
      <c r="AC7" s="13" t="s">
        <v>35</v>
      </c>
      <c r="AD7" s="13" t="s">
        <v>35</v>
      </c>
      <c r="AE7" s="14"/>
      <c r="AF7" s="13" t="s">
        <v>21</v>
      </c>
      <c r="AG7" s="13"/>
      <c r="AH7" s="13" t="s">
        <v>35</v>
      </c>
      <c r="AI7" s="13"/>
      <c r="AJ7" s="12" t="s">
        <v>21</v>
      </c>
      <c r="AK7" s="13"/>
      <c r="AL7" s="13" t="s">
        <v>35</v>
      </c>
      <c r="AM7" s="14"/>
      <c r="AN7" s="13" t="s">
        <v>21</v>
      </c>
      <c r="AO7" s="13"/>
      <c r="AP7" s="13" t="s">
        <v>35</v>
      </c>
      <c r="AQ7" s="13"/>
      <c r="AR7" s="12" t="s">
        <v>21</v>
      </c>
      <c r="AS7" s="13"/>
      <c r="AT7" s="13"/>
      <c r="AU7" s="14"/>
      <c r="AV7" s="13" t="s">
        <v>21</v>
      </c>
      <c r="AW7" s="13"/>
      <c r="AX7" s="13" t="s">
        <v>35</v>
      </c>
      <c r="AY7" s="14"/>
      <c r="BA7" s="149"/>
      <c r="BB7" s="12" t="str">
        <f>D7</f>
        <v>0DDA</v>
      </c>
      <c r="BC7" s="13" t="str">
        <f>H7</f>
        <v>0DDA</v>
      </c>
      <c r="BD7" s="13" t="str">
        <f>L7</f>
        <v>48C6</v>
      </c>
      <c r="BE7" s="3" t="str">
        <f>P7</f>
        <v>48C6</v>
      </c>
      <c r="BF7" s="3" t="str">
        <f>T7</f>
        <v>48C6</v>
      </c>
      <c r="BG7" s="3" t="str">
        <f>X7</f>
        <v>532E</v>
      </c>
      <c r="BH7" s="3" t="str">
        <f>AB7</f>
        <v>1FCA</v>
      </c>
      <c r="BI7" s="3" t="str">
        <f>AF7</f>
        <v>2BBA</v>
      </c>
      <c r="BJ7" s="3" t="str">
        <f>AJ7</f>
        <v>2BBA</v>
      </c>
      <c r="BK7" s="3" t="str">
        <f>AN7</f>
        <v>2BBA</v>
      </c>
      <c r="BL7" s="3" t="str">
        <f>AR7</f>
        <v>2BBA</v>
      </c>
      <c r="BM7" s="4" t="str">
        <f>AV7</f>
        <v>2BBA</v>
      </c>
      <c r="BN7" s="4"/>
      <c r="BO7" s="13">
        <v>2492</v>
      </c>
      <c r="BP7" s="4">
        <f>COUNTIF($BB$5:$BM$34,BO7)</f>
        <v>8</v>
      </c>
      <c r="BQ7" s="169">
        <f>BP7/$BS$4</f>
        <v>0.66666666666666663</v>
      </c>
      <c r="BR7" s="4">
        <v>3</v>
      </c>
      <c r="BS7" s="159" t="str">
        <f t="shared" si="1"/>
        <v/>
      </c>
      <c r="BV7" s="38">
        <v>1712</v>
      </c>
      <c r="BW7" s="12">
        <f>COUNTIF($BB$45:$BM$74,BV7)</f>
        <v>9</v>
      </c>
      <c r="BX7" s="169">
        <f>BW7/$BZ$4</f>
        <v>0.75</v>
      </c>
      <c r="BY7" s="12">
        <v>3</v>
      </c>
      <c r="BZ7" s="159">
        <f t="shared" si="2"/>
        <v>1712</v>
      </c>
      <c r="CC7" s="180">
        <v>1712</v>
      </c>
      <c r="CD7" s="159">
        <f>COUNTIF($BB$80:$BM$116,CC7)</f>
        <v>11</v>
      </c>
      <c r="CE7" s="176">
        <f>CD7/$CG$4</f>
        <v>0.91666666666666663</v>
      </c>
      <c r="CF7" s="13">
        <v>9</v>
      </c>
      <c r="CG7" s="159">
        <f t="shared" si="3"/>
        <v>1712</v>
      </c>
      <c r="CJ7" s="159">
        <v>3782</v>
      </c>
      <c r="CK7" s="159">
        <f>COUNTIF($BB$122:$BM$158,CJ7)</f>
        <v>12</v>
      </c>
      <c r="CL7" s="176">
        <f>CK7/$CG$4</f>
        <v>1</v>
      </c>
      <c r="CM7" s="13">
        <v>9</v>
      </c>
      <c r="CN7" s="14" t="e">
        <f t="shared" si="4"/>
        <v>#N/A</v>
      </c>
    </row>
    <row r="8" spans="1:92" x14ac:dyDescent="0.25">
      <c r="A8" s="23">
        <v>1712</v>
      </c>
      <c r="B8" s="23" t="s">
        <v>84</v>
      </c>
      <c r="C8" s="9">
        <f t="shared" si="0"/>
        <v>0</v>
      </c>
      <c r="D8" s="97" t="s">
        <v>18</v>
      </c>
      <c r="E8" s="97" t="s">
        <v>34</v>
      </c>
      <c r="F8" s="97" t="s">
        <v>35</v>
      </c>
      <c r="G8" s="4"/>
      <c r="H8" s="39" t="s">
        <v>18</v>
      </c>
      <c r="I8" s="3" t="s">
        <v>35</v>
      </c>
      <c r="J8" s="3" t="s">
        <v>35</v>
      </c>
      <c r="K8" s="3"/>
      <c r="L8" s="2" t="s">
        <v>19</v>
      </c>
      <c r="M8" s="3" t="s">
        <v>35</v>
      </c>
      <c r="N8" s="3" t="s">
        <v>35</v>
      </c>
      <c r="O8" s="4"/>
      <c r="P8" s="3" t="s">
        <v>19</v>
      </c>
      <c r="Q8" s="3" t="s">
        <v>35</v>
      </c>
      <c r="R8" s="3" t="s">
        <v>35</v>
      </c>
      <c r="S8" s="3"/>
      <c r="T8" s="12" t="s">
        <v>19</v>
      </c>
      <c r="U8" s="13" t="s">
        <v>35</v>
      </c>
      <c r="V8" s="13" t="s">
        <v>35</v>
      </c>
      <c r="W8" s="14"/>
      <c r="X8" s="13" t="s">
        <v>21</v>
      </c>
      <c r="Y8" s="13"/>
      <c r="Z8" s="13" t="s">
        <v>35</v>
      </c>
      <c r="AA8" s="13"/>
      <c r="AB8" s="15" t="s">
        <v>24</v>
      </c>
      <c r="AC8" s="13" t="s">
        <v>35</v>
      </c>
      <c r="AD8" s="13" t="s">
        <v>35</v>
      </c>
      <c r="AE8" s="14"/>
      <c r="AF8" s="13" t="s">
        <v>23</v>
      </c>
      <c r="AG8" s="13" t="s">
        <v>35</v>
      </c>
      <c r="AH8" s="13" t="s">
        <v>35</v>
      </c>
      <c r="AI8" s="13"/>
      <c r="AJ8" s="12" t="s">
        <v>23</v>
      </c>
      <c r="AK8" s="13" t="s">
        <v>35</v>
      </c>
      <c r="AL8" s="13" t="s">
        <v>35</v>
      </c>
      <c r="AM8" s="14"/>
      <c r="AN8" s="13" t="s">
        <v>23</v>
      </c>
      <c r="AO8" s="13" t="s">
        <v>35</v>
      </c>
      <c r="AP8" s="13" t="s">
        <v>35</v>
      </c>
      <c r="AQ8" s="13"/>
      <c r="AR8" s="12" t="s">
        <v>23</v>
      </c>
      <c r="AS8" s="13" t="s">
        <v>35</v>
      </c>
      <c r="AT8" s="13" t="s">
        <v>35</v>
      </c>
      <c r="AU8" s="14"/>
      <c r="AV8" s="142" t="s">
        <v>24</v>
      </c>
      <c r="AW8" s="13" t="s">
        <v>35</v>
      </c>
      <c r="AX8" s="13" t="s">
        <v>35</v>
      </c>
      <c r="AY8" s="14"/>
      <c r="BA8" s="149"/>
      <c r="BB8" s="12" t="str">
        <f>D8</f>
        <v>48C6</v>
      </c>
      <c r="BC8" s="13" t="str">
        <f>H8</f>
        <v>48C6</v>
      </c>
      <c r="BD8" s="13" t="str">
        <f>L8</f>
        <v>532E</v>
      </c>
      <c r="BE8" s="3" t="str">
        <f>P8</f>
        <v>532E</v>
      </c>
      <c r="BF8" s="3" t="str">
        <f>T8</f>
        <v>532E</v>
      </c>
      <c r="BG8" s="3" t="str">
        <f>X8</f>
        <v>2BBA</v>
      </c>
      <c r="BH8" s="3" t="str">
        <f>AB8</f>
        <v>14D6</v>
      </c>
      <c r="BI8" s="3" t="str">
        <f>AF8</f>
        <v>1FCA</v>
      </c>
      <c r="BJ8" s="3" t="str">
        <f>AJ8</f>
        <v>1FCA</v>
      </c>
      <c r="BK8" s="3" t="str">
        <f>AN8</f>
        <v>1FCA</v>
      </c>
      <c r="BL8" s="3" t="str">
        <f>AR8</f>
        <v>1FCA</v>
      </c>
      <c r="BM8" s="4" t="str">
        <f>AV8</f>
        <v>14D6</v>
      </c>
      <c r="BN8" s="4"/>
      <c r="BO8" s="13">
        <v>2822</v>
      </c>
      <c r="BP8" s="4">
        <f>COUNTIF($BB$5:$BM$34,BO8)</f>
        <v>2</v>
      </c>
      <c r="BQ8" s="169">
        <f>BP8/$BS$4</f>
        <v>0.16666666666666666</v>
      </c>
      <c r="BR8" s="4">
        <v>4</v>
      </c>
      <c r="BS8" s="159" t="str">
        <f t="shared" si="1"/>
        <v/>
      </c>
      <c r="BV8" s="12">
        <v>2492</v>
      </c>
      <c r="BW8" s="12">
        <f>COUNTIF($BB$45:$BM$74,BV8)</f>
        <v>8</v>
      </c>
      <c r="BX8" s="169">
        <f>BW8/$BZ$4</f>
        <v>0.66666666666666663</v>
      </c>
      <c r="BY8" s="12">
        <v>4</v>
      </c>
      <c r="BZ8" s="159" t="str">
        <f t="shared" si="2"/>
        <v/>
      </c>
      <c r="CC8" s="97">
        <v>2492</v>
      </c>
      <c r="CD8" s="159">
        <f>COUNTIF($BB$80:$BM$116,CC8)</f>
        <v>10</v>
      </c>
      <c r="CE8" s="176">
        <f>CD8/$CG$4</f>
        <v>0.83333333333333337</v>
      </c>
      <c r="CF8" s="13">
        <v>23</v>
      </c>
      <c r="CG8" s="159" t="e">
        <f t="shared" si="3"/>
        <v>#N/A</v>
      </c>
      <c r="CJ8" s="97">
        <v>5636</v>
      </c>
      <c r="CK8" s="159">
        <f>COUNTIF($BB$122:$BM$158,CJ8)</f>
        <v>2</v>
      </c>
      <c r="CL8" s="176">
        <f>CK8/$CG$4</f>
        <v>0.16666666666666666</v>
      </c>
      <c r="CM8" s="13">
        <v>22</v>
      </c>
      <c r="CN8" s="14" t="str">
        <f t="shared" si="4"/>
        <v/>
      </c>
    </row>
    <row r="9" spans="1:92" x14ac:dyDescent="0.25">
      <c r="A9" s="24" t="s">
        <v>30</v>
      </c>
      <c r="B9" s="24" t="s">
        <v>85</v>
      </c>
      <c r="C9" s="9">
        <f t="shared" si="0"/>
        <v>0</v>
      </c>
      <c r="D9" s="97" t="s">
        <v>19</v>
      </c>
      <c r="E9" s="97" t="s">
        <v>34</v>
      </c>
      <c r="F9" s="97" t="s">
        <v>35</v>
      </c>
      <c r="G9" s="4"/>
      <c r="H9" s="39" t="s">
        <v>23</v>
      </c>
      <c r="I9" s="3" t="s">
        <v>35</v>
      </c>
      <c r="J9" s="3" t="s">
        <v>35</v>
      </c>
      <c r="K9" s="3"/>
      <c r="L9" s="2" t="s">
        <v>20</v>
      </c>
      <c r="M9" s="3"/>
      <c r="N9" s="3"/>
      <c r="O9" s="4"/>
      <c r="P9" s="3" t="s">
        <v>21</v>
      </c>
      <c r="Q9" s="3"/>
      <c r="R9" s="3" t="s">
        <v>35</v>
      </c>
      <c r="S9" s="3"/>
      <c r="T9" s="12" t="s">
        <v>20</v>
      </c>
      <c r="U9" s="13"/>
      <c r="V9" s="13"/>
      <c r="W9" s="14"/>
      <c r="X9" s="13" t="s">
        <v>23</v>
      </c>
      <c r="Y9" s="13" t="s">
        <v>35</v>
      </c>
      <c r="Z9" s="13" t="s">
        <v>35</v>
      </c>
      <c r="AA9" s="13"/>
      <c r="AB9" s="79" t="s">
        <v>32</v>
      </c>
      <c r="AC9" s="13" t="s">
        <v>35</v>
      </c>
      <c r="AD9" s="13" t="s">
        <v>35</v>
      </c>
      <c r="AE9" s="14" t="s">
        <v>35</v>
      </c>
      <c r="AF9" s="13" t="s">
        <v>27</v>
      </c>
      <c r="AG9" s="13" t="s">
        <v>35</v>
      </c>
      <c r="AH9" s="13" t="s">
        <v>35</v>
      </c>
      <c r="AI9" s="13"/>
      <c r="AJ9" s="12" t="s">
        <v>27</v>
      </c>
      <c r="AK9" s="13" t="s">
        <v>35</v>
      </c>
      <c r="AL9" s="13" t="s">
        <v>35</v>
      </c>
      <c r="AM9" s="14"/>
      <c r="AN9" s="13" t="s">
        <v>27</v>
      </c>
      <c r="AO9" s="13" t="s">
        <v>35</v>
      </c>
      <c r="AP9" s="13" t="s">
        <v>35</v>
      </c>
      <c r="AQ9" s="13"/>
      <c r="AR9" s="15" t="s">
        <v>24</v>
      </c>
      <c r="AS9" s="13" t="s">
        <v>35</v>
      </c>
      <c r="AT9" s="13" t="s">
        <v>35</v>
      </c>
      <c r="AU9" s="14"/>
      <c r="AV9" s="13" t="s">
        <v>25</v>
      </c>
      <c r="AW9" s="13" t="s">
        <v>35</v>
      </c>
      <c r="AX9" s="13" t="s">
        <v>35</v>
      </c>
      <c r="AY9" s="14"/>
      <c r="BA9" s="149"/>
      <c r="BB9" s="12" t="str">
        <f>D9</f>
        <v>532E</v>
      </c>
      <c r="BC9" s="13" t="str">
        <f>H9</f>
        <v>1FCA</v>
      </c>
      <c r="BD9" s="13" t="str">
        <f>L9</f>
        <v>A37E</v>
      </c>
      <c r="BE9" s="3" t="str">
        <f>P9</f>
        <v>2BBA</v>
      </c>
      <c r="BF9" s="3" t="str">
        <f>T9</f>
        <v>A37E</v>
      </c>
      <c r="BG9" s="3" t="str">
        <f>X9</f>
        <v>1FCA</v>
      </c>
      <c r="BH9" s="3" t="str">
        <f>AB9</f>
        <v>06BE</v>
      </c>
      <c r="BI9" s="3" t="str">
        <f>AF9</f>
        <v>1CE2</v>
      </c>
      <c r="BJ9" s="3" t="str">
        <f>AJ9</f>
        <v>1CE2</v>
      </c>
      <c r="BK9" s="3" t="str">
        <f>AN9</f>
        <v>1CE2</v>
      </c>
      <c r="BL9" s="3" t="str">
        <f>AR9</f>
        <v>14D6</v>
      </c>
      <c r="BM9" s="4" t="str">
        <f>AV9</f>
        <v>4D7A</v>
      </c>
      <c r="BN9" s="4"/>
      <c r="BO9" s="13">
        <v>2852</v>
      </c>
      <c r="BP9" s="4">
        <f>COUNTIF($BB$5:$BM$34,BO9)</f>
        <v>2</v>
      </c>
      <c r="BQ9" s="169">
        <f>BP9/$BS$4</f>
        <v>0.16666666666666666</v>
      </c>
      <c r="BR9" s="4">
        <v>5</v>
      </c>
      <c r="BS9" s="159" t="str">
        <f t="shared" si="1"/>
        <v/>
      </c>
      <c r="BV9" s="12">
        <v>2822</v>
      </c>
      <c r="BW9" s="12">
        <f>COUNTIF($BB$45:$BM$74,BV9)</f>
        <v>7</v>
      </c>
      <c r="BX9" s="169">
        <f>BW9/$BZ$4</f>
        <v>0.58333333333333337</v>
      </c>
      <c r="BY9" s="12">
        <v>5</v>
      </c>
      <c r="BZ9" s="159" t="str">
        <f t="shared" si="2"/>
        <v/>
      </c>
      <c r="CC9" s="97">
        <v>2852</v>
      </c>
      <c r="CD9" s="159">
        <f>COUNTIF($BB$80:$BM$116,CC9)</f>
        <v>2</v>
      </c>
      <c r="CE9" s="176">
        <f>CD9/$CG$4</f>
        <v>0.16666666666666666</v>
      </c>
      <c r="CF9" s="13">
        <v>28</v>
      </c>
      <c r="CG9" s="159" t="str">
        <f t="shared" si="3"/>
        <v/>
      </c>
      <c r="CJ9" s="179" t="s">
        <v>32</v>
      </c>
      <c r="CK9" s="159">
        <f>COUNTIF($BB$122:$BM$158,CJ9)</f>
        <v>3</v>
      </c>
      <c r="CL9" s="176">
        <f>CK9/$CG$4</f>
        <v>0.25</v>
      </c>
      <c r="CM9" s="13">
        <v>30</v>
      </c>
      <c r="CN9" s="14" t="str">
        <f t="shared" si="4"/>
        <v/>
      </c>
    </row>
    <row r="10" spans="1:92" x14ac:dyDescent="0.25">
      <c r="A10" s="25" t="s">
        <v>31</v>
      </c>
      <c r="B10" s="25" t="s">
        <v>86</v>
      </c>
      <c r="C10" s="9">
        <f t="shared" si="0"/>
        <v>0</v>
      </c>
      <c r="D10" s="97" t="s">
        <v>20</v>
      </c>
      <c r="E10" s="97"/>
      <c r="F10" s="97"/>
      <c r="G10" s="4"/>
      <c r="H10" s="147" t="s">
        <v>24</v>
      </c>
      <c r="I10" s="3" t="s">
        <v>35</v>
      </c>
      <c r="J10" s="3" t="s">
        <v>35</v>
      </c>
      <c r="K10" s="3"/>
      <c r="L10" s="2" t="s">
        <v>21</v>
      </c>
      <c r="M10" s="3"/>
      <c r="N10" s="3" t="s">
        <v>35</v>
      </c>
      <c r="O10" s="4"/>
      <c r="P10" s="3" t="s">
        <v>22</v>
      </c>
      <c r="Q10" s="3"/>
      <c r="R10" s="3"/>
      <c r="S10" s="3"/>
      <c r="T10" s="12" t="s">
        <v>21</v>
      </c>
      <c r="U10" s="13"/>
      <c r="V10" s="13" t="s">
        <v>35</v>
      </c>
      <c r="W10" s="14"/>
      <c r="X10" s="13" t="s">
        <v>27</v>
      </c>
      <c r="Y10" s="13" t="s">
        <v>35</v>
      </c>
      <c r="Z10" s="13" t="s">
        <v>35</v>
      </c>
      <c r="AA10" s="13"/>
      <c r="AB10" s="12" t="s">
        <v>33</v>
      </c>
      <c r="AC10" s="13" t="s">
        <v>35</v>
      </c>
      <c r="AD10" s="13" t="s">
        <v>35</v>
      </c>
      <c r="AE10" s="14" t="s">
        <v>35</v>
      </c>
      <c r="AF10" s="142" t="s">
        <v>24</v>
      </c>
      <c r="AG10" s="13" t="s">
        <v>35</v>
      </c>
      <c r="AH10" s="13" t="s">
        <v>35</v>
      </c>
      <c r="AI10" s="13"/>
      <c r="AJ10" s="15" t="s">
        <v>24</v>
      </c>
      <c r="AK10" s="13" t="s">
        <v>35</v>
      </c>
      <c r="AL10" s="13" t="s">
        <v>35</v>
      </c>
      <c r="AM10" s="14"/>
      <c r="AN10" s="142" t="s">
        <v>24</v>
      </c>
      <c r="AO10" s="13" t="s">
        <v>35</v>
      </c>
      <c r="AP10" s="13" t="s">
        <v>35</v>
      </c>
      <c r="AQ10" s="13"/>
      <c r="AR10" s="12" t="s">
        <v>25</v>
      </c>
      <c r="AS10" s="13" t="s">
        <v>35</v>
      </c>
      <c r="AT10" s="13" t="s">
        <v>35</v>
      </c>
      <c r="AU10" s="14"/>
      <c r="AV10" s="143" t="s">
        <v>26</v>
      </c>
      <c r="AW10" s="13" t="s">
        <v>35</v>
      </c>
      <c r="AX10" s="13" t="s">
        <v>35</v>
      </c>
      <c r="AY10" s="14"/>
      <c r="BA10" s="149"/>
      <c r="BB10" s="12" t="str">
        <f>D10</f>
        <v>A37E</v>
      </c>
      <c r="BC10" s="13" t="str">
        <f>H10</f>
        <v>14D6</v>
      </c>
      <c r="BD10" s="13" t="str">
        <f>L10</f>
        <v>2BBA</v>
      </c>
      <c r="BE10" s="3" t="str">
        <f>P10</f>
        <v>36FA</v>
      </c>
      <c r="BF10" s="3" t="str">
        <f>T10</f>
        <v>2BBA</v>
      </c>
      <c r="BG10" s="3" t="str">
        <f>X10</f>
        <v>1CE2</v>
      </c>
      <c r="BH10" s="3" t="str">
        <f>AB10</f>
        <v>FAC6</v>
      </c>
      <c r="BI10" s="3" t="str">
        <f>AF10</f>
        <v>14D6</v>
      </c>
      <c r="BJ10" s="3" t="str">
        <f>AJ10</f>
        <v>14D6</v>
      </c>
      <c r="BK10" s="3" t="str">
        <f>AN10</f>
        <v>14D6</v>
      </c>
      <c r="BL10" s="3" t="str">
        <f>AR10</f>
        <v>4D7A</v>
      </c>
      <c r="BM10" s="4" t="str">
        <f>AV10</f>
        <v>2FF6</v>
      </c>
      <c r="BN10" s="4"/>
      <c r="BO10" s="13">
        <v>3842</v>
      </c>
      <c r="BP10" s="4">
        <f>COUNTIF($BB$5:$BM$34,BO10)</f>
        <v>2</v>
      </c>
      <c r="BQ10" s="169">
        <f>BP10/$BS$4</f>
        <v>0.16666666666666666</v>
      </c>
      <c r="BR10" s="4">
        <v>6</v>
      </c>
      <c r="BS10" s="159" t="str">
        <f t="shared" si="1"/>
        <v/>
      </c>
      <c r="BV10" s="12">
        <v>2852</v>
      </c>
      <c r="BW10" s="12">
        <f>COUNTIF($BB$45:$BM$74,BV10)</f>
        <v>4</v>
      </c>
      <c r="BX10" s="169">
        <f>BW10/$BZ$4</f>
        <v>0.33333333333333331</v>
      </c>
      <c r="BY10" s="12">
        <v>6</v>
      </c>
      <c r="BZ10" s="159" t="str">
        <f t="shared" si="2"/>
        <v/>
      </c>
      <c r="CC10" s="97">
        <v>3782</v>
      </c>
      <c r="CD10" s="159">
        <f>COUNTIF($BB$80:$BM$116,CC10)</f>
        <v>6</v>
      </c>
      <c r="CE10" s="176">
        <f>CD10/$CG$4</f>
        <v>0.5</v>
      </c>
      <c r="CF10" s="13">
        <v>29</v>
      </c>
      <c r="CG10" s="159" t="str">
        <f t="shared" si="3"/>
        <v/>
      </c>
      <c r="CJ10" s="183" t="s">
        <v>24</v>
      </c>
      <c r="CK10" s="159">
        <f>COUNTIF($BB$122:$BM$158,CJ10)</f>
        <v>12</v>
      </c>
      <c r="CL10" s="176">
        <f>CK10/$CG$4</f>
        <v>1</v>
      </c>
      <c r="CM10" s="13">
        <v>2</v>
      </c>
      <c r="CN10" s="14" t="str">
        <f t="shared" si="4"/>
        <v>14D6</v>
      </c>
    </row>
    <row r="11" spans="1:92" x14ac:dyDescent="0.25">
      <c r="A11" s="99" t="s">
        <v>32</v>
      </c>
      <c r="B11" s="99" t="s">
        <v>87</v>
      </c>
      <c r="C11" s="141">
        <f t="shared" si="0"/>
        <v>9</v>
      </c>
      <c r="D11" s="97" t="s">
        <v>21</v>
      </c>
      <c r="E11" s="97"/>
      <c r="F11" s="97" t="s">
        <v>35</v>
      </c>
      <c r="G11" s="4"/>
      <c r="H11" s="39" t="s">
        <v>27</v>
      </c>
      <c r="I11" s="3" t="s">
        <v>35</v>
      </c>
      <c r="J11" s="3" t="s">
        <v>35</v>
      </c>
      <c r="K11" s="3"/>
      <c r="L11" s="2" t="s">
        <v>22</v>
      </c>
      <c r="M11" s="3"/>
      <c r="N11" s="3"/>
      <c r="O11" s="4"/>
      <c r="P11" s="3" t="s">
        <v>23</v>
      </c>
      <c r="Q11" s="3" t="s">
        <v>35</v>
      </c>
      <c r="R11" s="3" t="s">
        <v>35</v>
      </c>
      <c r="S11" s="3"/>
      <c r="T11" s="12" t="s">
        <v>22</v>
      </c>
      <c r="U11" s="13"/>
      <c r="V11" s="13"/>
      <c r="W11" s="14"/>
      <c r="X11" s="142" t="s">
        <v>24</v>
      </c>
      <c r="Y11" s="13" t="s">
        <v>35</v>
      </c>
      <c r="Z11" s="13" t="s">
        <v>35</v>
      </c>
      <c r="AA11" s="13"/>
      <c r="AB11" s="12"/>
      <c r="AC11" s="13"/>
      <c r="AD11" s="13"/>
      <c r="AE11" s="14"/>
      <c r="AF11" s="13" t="s">
        <v>25</v>
      </c>
      <c r="AG11" s="13" t="s">
        <v>35</v>
      </c>
      <c r="AH11" s="13" t="s">
        <v>35</v>
      </c>
      <c r="AI11" s="13"/>
      <c r="AJ11" s="12" t="s">
        <v>25</v>
      </c>
      <c r="AK11" s="13" t="s">
        <v>35</v>
      </c>
      <c r="AL11" s="13" t="s">
        <v>35</v>
      </c>
      <c r="AM11" s="14"/>
      <c r="AN11" s="13" t="s">
        <v>25</v>
      </c>
      <c r="AO11" s="13" t="s">
        <v>35</v>
      </c>
      <c r="AP11" s="13" t="s">
        <v>35</v>
      </c>
      <c r="AQ11" s="13"/>
      <c r="AR11" s="31" t="s">
        <v>26</v>
      </c>
      <c r="AS11" s="13" t="s">
        <v>35</v>
      </c>
      <c r="AT11" s="13" t="s">
        <v>35</v>
      </c>
      <c r="AU11" s="14"/>
      <c r="AV11" s="13">
        <v>2492</v>
      </c>
      <c r="AW11" s="13" t="s">
        <v>35</v>
      </c>
      <c r="AX11" s="13" t="s">
        <v>35</v>
      </c>
      <c r="AY11" s="14"/>
      <c r="BA11" s="149"/>
      <c r="BB11" s="12" t="str">
        <f>D11</f>
        <v>2BBA</v>
      </c>
      <c r="BC11" s="13" t="str">
        <f>H11</f>
        <v>1CE2</v>
      </c>
      <c r="BD11" s="13" t="str">
        <f>L11</f>
        <v>36FA</v>
      </c>
      <c r="BE11" s="3" t="str">
        <f>P11</f>
        <v>1FCA</v>
      </c>
      <c r="BF11" s="3" t="str">
        <f>T11</f>
        <v>36FA</v>
      </c>
      <c r="BG11" s="3" t="str">
        <f>X11</f>
        <v>14D6</v>
      </c>
      <c r="BH11" s="3">
        <f>AB11</f>
        <v>0</v>
      </c>
      <c r="BI11" s="3" t="str">
        <f>AF11</f>
        <v>4D7A</v>
      </c>
      <c r="BJ11" s="3" t="str">
        <f>AJ11</f>
        <v>4D7A</v>
      </c>
      <c r="BK11" s="3" t="str">
        <f>AN11</f>
        <v>4D7A</v>
      </c>
      <c r="BL11" s="3" t="str">
        <f>AR11</f>
        <v>2FF6</v>
      </c>
      <c r="BM11" s="4">
        <f>AV11</f>
        <v>2492</v>
      </c>
      <c r="BN11" s="4"/>
      <c r="BO11" s="144" t="s">
        <v>32</v>
      </c>
      <c r="BP11" s="4">
        <f>COUNTIF($BB$5:$BM$34,BO11)</f>
        <v>9</v>
      </c>
      <c r="BQ11" s="169">
        <f>BP11/$BS$4</f>
        <v>0.75</v>
      </c>
      <c r="BR11" s="4">
        <v>7</v>
      </c>
      <c r="BS11" s="159" t="str">
        <f t="shared" si="1"/>
        <v>06BE</v>
      </c>
      <c r="BV11" s="12">
        <v>3782</v>
      </c>
      <c r="BW11" s="12">
        <f>COUNTIF($BB$45:$BM$74,BV11)</f>
        <v>6</v>
      </c>
      <c r="BX11" s="169">
        <f>BW11/$BZ$4</f>
        <v>0.5</v>
      </c>
      <c r="BY11" s="12">
        <v>7</v>
      </c>
      <c r="BZ11" s="159" t="str">
        <f t="shared" si="2"/>
        <v/>
      </c>
      <c r="CC11" s="159">
        <v>5636</v>
      </c>
      <c r="CD11" s="159">
        <f>COUNTIF($BB$80:$BM$116,CC11)</f>
        <v>11</v>
      </c>
      <c r="CE11" s="176">
        <f>CD11/$CG$4</f>
        <v>0.91666666666666663</v>
      </c>
      <c r="CF11" s="13">
        <v>15</v>
      </c>
      <c r="CG11" s="159" t="e">
        <f t="shared" si="3"/>
        <v>#N/A</v>
      </c>
      <c r="CJ11" s="190" t="s">
        <v>68</v>
      </c>
      <c r="CK11" s="159">
        <f>COUNTIF($BB$122:$BM$158,CJ11)</f>
        <v>5</v>
      </c>
      <c r="CL11" s="176">
        <f>CK11/$CG$4</f>
        <v>0.41666666666666669</v>
      </c>
      <c r="CM11" s="13">
        <v>27</v>
      </c>
      <c r="CN11" s="14" t="str">
        <f t="shared" si="4"/>
        <v/>
      </c>
    </row>
    <row r="12" spans="1:92" x14ac:dyDescent="0.25">
      <c r="A12" s="100" t="s">
        <v>75</v>
      </c>
      <c r="B12" s="100" t="s">
        <v>88</v>
      </c>
      <c r="C12" s="9">
        <f t="shared" si="0"/>
        <v>0</v>
      </c>
      <c r="D12" s="97"/>
      <c r="E12" s="97"/>
      <c r="F12" s="97"/>
      <c r="G12" s="4"/>
      <c r="H12" s="39">
        <v>2692</v>
      </c>
      <c r="I12" s="3"/>
      <c r="J12" s="3"/>
      <c r="K12" s="3"/>
      <c r="L12" s="8" t="s">
        <v>23</v>
      </c>
      <c r="M12" s="3" t="s">
        <v>35</v>
      </c>
      <c r="N12" s="3" t="s">
        <v>35</v>
      </c>
      <c r="O12" s="4"/>
      <c r="P12" s="3" t="s">
        <v>27</v>
      </c>
      <c r="Q12" s="3" t="s">
        <v>35</v>
      </c>
      <c r="R12" s="3" t="s">
        <v>35</v>
      </c>
      <c r="S12" s="3"/>
      <c r="T12" s="12" t="s">
        <v>23</v>
      </c>
      <c r="U12" s="13" t="s">
        <v>35</v>
      </c>
      <c r="V12" s="13" t="s">
        <v>35</v>
      </c>
      <c r="W12" s="14"/>
      <c r="X12" s="144" t="s">
        <v>32</v>
      </c>
      <c r="Y12" s="13" t="s">
        <v>35</v>
      </c>
      <c r="Z12" s="13" t="s">
        <v>35</v>
      </c>
      <c r="AA12" s="13" t="s">
        <v>35</v>
      </c>
      <c r="AB12" s="12"/>
      <c r="AC12" s="13"/>
      <c r="AD12" s="13"/>
      <c r="AE12" s="14"/>
      <c r="AF12" s="143" t="s">
        <v>26</v>
      </c>
      <c r="AG12" s="13" t="s">
        <v>35</v>
      </c>
      <c r="AH12" s="13" t="s">
        <v>35</v>
      </c>
      <c r="AI12" s="13"/>
      <c r="AJ12" s="31" t="s">
        <v>26</v>
      </c>
      <c r="AK12" s="13" t="s">
        <v>35</v>
      </c>
      <c r="AL12" s="13" t="s">
        <v>35</v>
      </c>
      <c r="AM12" s="14"/>
      <c r="AN12" s="143" t="s">
        <v>26</v>
      </c>
      <c r="AO12" s="13" t="s">
        <v>35</v>
      </c>
      <c r="AP12" s="13" t="s">
        <v>35</v>
      </c>
      <c r="AQ12" s="13"/>
      <c r="AR12" s="12">
        <v>2492</v>
      </c>
      <c r="AS12" s="13" t="s">
        <v>35</v>
      </c>
      <c r="AT12" s="13" t="s">
        <v>35</v>
      </c>
      <c r="AU12" s="14"/>
      <c r="AV12" s="144" t="s">
        <v>32</v>
      </c>
      <c r="AW12" s="13" t="s">
        <v>35</v>
      </c>
      <c r="AX12" s="13" t="s">
        <v>35</v>
      </c>
      <c r="AY12" s="14" t="s">
        <v>35</v>
      </c>
      <c r="BA12" s="149"/>
      <c r="BB12" s="12">
        <f>D12</f>
        <v>0</v>
      </c>
      <c r="BC12" s="13">
        <f>H12</f>
        <v>2692</v>
      </c>
      <c r="BD12" s="13" t="str">
        <f>L12</f>
        <v>1FCA</v>
      </c>
      <c r="BE12" s="3" t="str">
        <f>P12</f>
        <v>1CE2</v>
      </c>
      <c r="BF12" s="3" t="str">
        <f>T12</f>
        <v>1FCA</v>
      </c>
      <c r="BG12" s="3" t="str">
        <f>X12</f>
        <v>06BE</v>
      </c>
      <c r="BH12" s="3">
        <f>AB12</f>
        <v>0</v>
      </c>
      <c r="BI12" s="3" t="str">
        <f>AF12</f>
        <v>2FF6</v>
      </c>
      <c r="BJ12" s="3" t="str">
        <f>AJ12</f>
        <v>2FF6</v>
      </c>
      <c r="BK12" s="3" t="str">
        <f>AN12</f>
        <v>2FF6</v>
      </c>
      <c r="BL12" s="3">
        <f>AR12</f>
        <v>2492</v>
      </c>
      <c r="BM12" s="4" t="str">
        <f>AV12</f>
        <v>06BE</v>
      </c>
      <c r="BN12" s="4"/>
      <c r="BO12" s="13" t="s">
        <v>17</v>
      </c>
      <c r="BP12" s="4">
        <f>COUNTIF($BB$5:$BM$34,BO12)</f>
        <v>6</v>
      </c>
      <c r="BQ12" s="169">
        <f>BP12/$BS$4</f>
        <v>0.5</v>
      </c>
      <c r="BR12" s="4">
        <v>8</v>
      </c>
      <c r="BS12" s="159" t="str">
        <f t="shared" si="1"/>
        <v/>
      </c>
      <c r="BV12" s="12">
        <v>3842</v>
      </c>
      <c r="BW12" s="12">
        <f>COUNTIF($BB$45:$BM$74,BV12)</f>
        <v>1</v>
      </c>
      <c r="BX12" s="169">
        <f>BW12/$BZ$4</f>
        <v>8.3333333333333329E-2</v>
      </c>
      <c r="BY12" s="12">
        <v>8</v>
      </c>
      <c r="BZ12" s="159" t="str">
        <f t="shared" si="2"/>
        <v/>
      </c>
      <c r="CC12" s="178" t="s">
        <v>32</v>
      </c>
      <c r="CD12" s="159">
        <f>COUNTIF($BB$80:$BM$116,CC12)</f>
        <v>11</v>
      </c>
      <c r="CE12" s="176">
        <f>CD12/$CG$4</f>
        <v>0.91666666666666663</v>
      </c>
      <c r="CF12" s="13">
        <v>5</v>
      </c>
      <c r="CG12" s="159" t="str">
        <f t="shared" si="3"/>
        <v>06BE</v>
      </c>
      <c r="CJ12" s="159" t="s">
        <v>43</v>
      </c>
      <c r="CK12" s="159">
        <f>COUNTIF($BB$122:$BM$158,CJ12)</f>
        <v>1</v>
      </c>
      <c r="CL12" s="176">
        <f>CK12/$CG$4</f>
        <v>8.3333333333333329E-2</v>
      </c>
      <c r="CM12" s="13">
        <v>7</v>
      </c>
      <c r="CN12" s="14" t="str">
        <f t="shared" si="4"/>
        <v/>
      </c>
    </row>
    <row r="13" spans="1:92" x14ac:dyDescent="0.25">
      <c r="A13" s="101" t="s">
        <v>76</v>
      </c>
      <c r="B13" s="101" t="s">
        <v>89</v>
      </c>
      <c r="C13" s="9">
        <f t="shared" si="0"/>
        <v>0</v>
      </c>
      <c r="D13" s="97"/>
      <c r="E13" s="97"/>
      <c r="F13" s="97"/>
      <c r="G13" s="4"/>
      <c r="H13" s="39" t="s">
        <v>19</v>
      </c>
      <c r="I13" s="3" t="s">
        <v>35</v>
      </c>
      <c r="J13" s="3"/>
      <c r="K13" s="3"/>
      <c r="L13" s="2" t="s">
        <v>27</v>
      </c>
      <c r="M13" s="3" t="s">
        <v>35</v>
      </c>
      <c r="N13" s="3" t="s">
        <v>35</v>
      </c>
      <c r="O13" s="4"/>
      <c r="P13" s="147" t="s">
        <v>24</v>
      </c>
      <c r="Q13" s="3" t="s">
        <v>35</v>
      </c>
      <c r="R13" s="3" t="s">
        <v>35</v>
      </c>
      <c r="S13" s="3"/>
      <c r="T13" s="12" t="s">
        <v>27</v>
      </c>
      <c r="U13" s="13" t="s">
        <v>35</v>
      </c>
      <c r="V13" s="13" t="s">
        <v>35</v>
      </c>
      <c r="W13" s="14"/>
      <c r="X13" s="13" t="s">
        <v>33</v>
      </c>
      <c r="Y13" s="13" t="s">
        <v>35</v>
      </c>
      <c r="Z13" s="13" t="s">
        <v>35</v>
      </c>
      <c r="AA13" s="13" t="s">
        <v>35</v>
      </c>
      <c r="AB13" s="12"/>
      <c r="AC13" s="13"/>
      <c r="AD13" s="13"/>
      <c r="AE13" s="14"/>
      <c r="AF13" s="13">
        <v>2492</v>
      </c>
      <c r="AG13" s="13" t="s">
        <v>35</v>
      </c>
      <c r="AH13" s="13" t="s">
        <v>35</v>
      </c>
      <c r="AI13" s="13"/>
      <c r="AJ13" s="12">
        <v>2492</v>
      </c>
      <c r="AK13" s="13" t="s">
        <v>35</v>
      </c>
      <c r="AL13" s="13" t="s">
        <v>35</v>
      </c>
      <c r="AM13" s="14"/>
      <c r="AN13" s="13">
        <v>2492</v>
      </c>
      <c r="AO13" s="13" t="s">
        <v>35</v>
      </c>
      <c r="AP13" s="13" t="s">
        <v>35</v>
      </c>
      <c r="AQ13" s="13"/>
      <c r="AR13" s="79" t="s">
        <v>32</v>
      </c>
      <c r="AS13" s="13" t="s">
        <v>35</v>
      </c>
      <c r="AT13" s="13" t="s">
        <v>35</v>
      </c>
      <c r="AU13" s="14" t="s">
        <v>35</v>
      </c>
      <c r="AV13" s="145" t="s">
        <v>29</v>
      </c>
      <c r="AW13" s="13" t="s">
        <v>35</v>
      </c>
      <c r="AX13" s="13" t="s">
        <v>35</v>
      </c>
      <c r="AY13" s="14" t="s">
        <v>35</v>
      </c>
      <c r="BA13" s="149"/>
      <c r="BB13" s="12">
        <f>D13</f>
        <v>0</v>
      </c>
      <c r="BC13" s="13" t="str">
        <f>H13</f>
        <v>532E</v>
      </c>
      <c r="BD13" s="13" t="str">
        <f>L13</f>
        <v>1CE2</v>
      </c>
      <c r="BE13" s="3" t="str">
        <f>P13</f>
        <v>14D6</v>
      </c>
      <c r="BF13" s="3" t="str">
        <f>T13</f>
        <v>1CE2</v>
      </c>
      <c r="BG13" s="3" t="str">
        <f>X13</f>
        <v>FAC6</v>
      </c>
      <c r="BH13" s="3">
        <f>AB13</f>
        <v>0</v>
      </c>
      <c r="BI13" s="3">
        <f>AF13</f>
        <v>2492</v>
      </c>
      <c r="BJ13" s="3">
        <f>AJ13</f>
        <v>2492</v>
      </c>
      <c r="BK13" s="3">
        <f>AN13</f>
        <v>2492</v>
      </c>
      <c r="BL13" s="3" t="str">
        <f>AR13</f>
        <v>06BE</v>
      </c>
      <c r="BM13" s="4" t="str">
        <f>AV13</f>
        <v>F1AE</v>
      </c>
      <c r="BN13" s="4"/>
      <c r="BO13" s="142" t="s">
        <v>24</v>
      </c>
      <c r="BP13" s="4">
        <f>COUNTIF($BB$5:$BM$34,BO13)</f>
        <v>11</v>
      </c>
      <c r="BQ13" s="169">
        <f>BP13/$BS$4</f>
        <v>0.91666666666666663</v>
      </c>
      <c r="BR13" s="4">
        <v>9</v>
      </c>
      <c r="BS13" s="159" t="str">
        <f t="shared" si="1"/>
        <v>14D6</v>
      </c>
      <c r="BV13" s="12">
        <v>5636</v>
      </c>
      <c r="BW13" s="12">
        <f>COUNTIF($BB$45:$BM$74,BV13)</f>
        <v>2</v>
      </c>
      <c r="BX13" s="169">
        <f>BW13/$BZ$4</f>
        <v>0.16666666666666666</v>
      </c>
      <c r="BY13" s="12">
        <v>9</v>
      </c>
      <c r="BZ13" s="159" t="str">
        <f t="shared" si="2"/>
        <v/>
      </c>
      <c r="CC13" s="183" t="s">
        <v>24</v>
      </c>
      <c r="CD13" s="159">
        <f>COUNTIF($BB$80:$BM$116,CC13)</f>
        <v>9</v>
      </c>
      <c r="CE13" s="176">
        <f>CD13/$CG$4</f>
        <v>0.75</v>
      </c>
      <c r="CF13" s="13">
        <v>3</v>
      </c>
      <c r="CG13" s="159" t="str">
        <f t="shared" si="3"/>
        <v>14D6</v>
      </c>
      <c r="CJ13" s="187" t="s">
        <v>31</v>
      </c>
      <c r="CK13" s="159">
        <f>COUNTIF($BB$122:$BM$158,CJ13)</f>
        <v>12</v>
      </c>
      <c r="CL13" s="176">
        <f>CK13/$CG$4</f>
        <v>1</v>
      </c>
      <c r="CM13" s="13">
        <v>14</v>
      </c>
      <c r="CN13" s="14" t="str">
        <f t="shared" si="4"/>
        <v>1DE2</v>
      </c>
    </row>
    <row r="14" spans="1:92" x14ac:dyDescent="0.25">
      <c r="A14" s="102" t="s">
        <v>77</v>
      </c>
      <c r="B14" s="102" t="s">
        <v>90</v>
      </c>
      <c r="C14" s="9">
        <f t="shared" ref="C14:C18" si="5">COUNTIF($D$5:$AY$25,A14)</f>
        <v>0</v>
      </c>
      <c r="D14" s="97"/>
      <c r="E14" s="97"/>
      <c r="F14" s="97"/>
      <c r="G14" s="4"/>
      <c r="H14" s="39" t="s">
        <v>20</v>
      </c>
      <c r="I14" s="3"/>
      <c r="J14" s="3"/>
      <c r="K14" s="3"/>
      <c r="L14" s="9" t="s">
        <v>24</v>
      </c>
      <c r="M14" s="3" t="s">
        <v>35</v>
      </c>
      <c r="N14" s="3" t="s">
        <v>35</v>
      </c>
      <c r="O14" s="4"/>
      <c r="P14" s="3" t="s">
        <v>25</v>
      </c>
      <c r="Q14" s="3" t="s">
        <v>35</v>
      </c>
      <c r="R14" s="3" t="s">
        <v>35</v>
      </c>
      <c r="S14" s="3"/>
      <c r="T14" s="15" t="s">
        <v>24</v>
      </c>
      <c r="U14" s="13" t="s">
        <v>35</v>
      </c>
      <c r="V14" s="13" t="s">
        <v>35</v>
      </c>
      <c r="W14" s="14"/>
      <c r="X14" s="13"/>
      <c r="Y14" s="13"/>
      <c r="Z14" s="13"/>
      <c r="AA14" s="13"/>
      <c r="AB14" s="12"/>
      <c r="AC14" s="13"/>
      <c r="AD14" s="13"/>
      <c r="AE14" s="14"/>
      <c r="AF14" s="144" t="s">
        <v>32</v>
      </c>
      <c r="AG14" s="13" t="s">
        <v>35</v>
      </c>
      <c r="AH14" s="13" t="s">
        <v>35</v>
      </c>
      <c r="AI14" s="13" t="s">
        <v>35</v>
      </c>
      <c r="AJ14" s="79" t="s">
        <v>32</v>
      </c>
      <c r="AK14" s="13" t="s">
        <v>35</v>
      </c>
      <c r="AL14" s="13" t="s">
        <v>35</v>
      </c>
      <c r="AM14" s="14" t="s">
        <v>35</v>
      </c>
      <c r="AN14" s="144" t="s">
        <v>32</v>
      </c>
      <c r="AO14" s="13" t="s">
        <v>35</v>
      </c>
      <c r="AP14" s="13" t="s">
        <v>35</v>
      </c>
      <c r="AQ14" s="13" t="s">
        <v>35</v>
      </c>
      <c r="AR14" s="32" t="s">
        <v>29</v>
      </c>
      <c r="AS14" s="13" t="s">
        <v>35</v>
      </c>
      <c r="AT14" s="13" t="s">
        <v>35</v>
      </c>
      <c r="AU14" s="14" t="s">
        <v>35</v>
      </c>
      <c r="AV14" s="13" t="s">
        <v>39</v>
      </c>
      <c r="AW14" s="13" t="s">
        <v>35</v>
      </c>
      <c r="AX14" s="13" t="s">
        <v>35</v>
      </c>
      <c r="AY14" s="14"/>
      <c r="BA14" s="149"/>
      <c r="BB14" s="12">
        <f>D14</f>
        <v>0</v>
      </c>
      <c r="BC14" s="13" t="str">
        <f>H14</f>
        <v>A37E</v>
      </c>
      <c r="BD14" s="13" t="str">
        <f>L14</f>
        <v>14D6</v>
      </c>
      <c r="BE14" s="3" t="str">
        <f>P14</f>
        <v>4D7A</v>
      </c>
      <c r="BF14" s="3" t="str">
        <f>T14</f>
        <v>14D6</v>
      </c>
      <c r="BG14" s="3">
        <f>X14</f>
        <v>0</v>
      </c>
      <c r="BH14" s="3">
        <f>AB14</f>
        <v>0</v>
      </c>
      <c r="BI14" s="3" t="str">
        <f>AF14</f>
        <v>06BE</v>
      </c>
      <c r="BJ14" s="3" t="str">
        <f>AJ14</f>
        <v>06BE</v>
      </c>
      <c r="BK14" s="3" t="str">
        <f>AN14</f>
        <v>06BE</v>
      </c>
      <c r="BL14" s="3" t="str">
        <f>AR14</f>
        <v>F1AE</v>
      </c>
      <c r="BM14" s="4" t="str">
        <f>AV14</f>
        <v>EA06</v>
      </c>
      <c r="BN14" s="4"/>
      <c r="BO14" s="13" t="s">
        <v>43</v>
      </c>
      <c r="BP14" s="4">
        <f>COUNTIF($BB$5:$BM$34,BO14)</f>
        <v>2</v>
      </c>
      <c r="BQ14" s="169">
        <f>BP14/$BS$4</f>
        <v>0.16666666666666666</v>
      </c>
      <c r="BR14" s="4">
        <v>10</v>
      </c>
      <c r="BS14" s="159" t="str">
        <f t="shared" si="1"/>
        <v/>
      </c>
      <c r="BV14" s="79" t="s">
        <v>32</v>
      </c>
      <c r="BW14" s="12">
        <f>COUNTIF($BB$45:$BM$74,BV14)</f>
        <v>12</v>
      </c>
      <c r="BX14" s="169">
        <f>BW14/$BZ$4</f>
        <v>1</v>
      </c>
      <c r="BY14" s="12">
        <v>10</v>
      </c>
      <c r="BZ14" s="159" t="str">
        <f t="shared" si="2"/>
        <v>06BE</v>
      </c>
      <c r="CC14" s="190" t="s">
        <v>68</v>
      </c>
      <c r="CD14" s="159">
        <f>COUNTIF($BB$80:$BM$116,CC14)</f>
        <v>5</v>
      </c>
      <c r="CE14" s="176">
        <f>CD14/$CG$4</f>
        <v>0.41666666666666669</v>
      </c>
      <c r="CF14" s="13">
        <v>36</v>
      </c>
      <c r="CG14" s="159" t="str">
        <f t="shared" si="3"/>
        <v/>
      </c>
      <c r="CJ14" s="139" t="s">
        <v>77</v>
      </c>
      <c r="CK14" s="159">
        <f>COUNTIF($BB$122:$BM$158,CJ14)</f>
        <v>4</v>
      </c>
      <c r="CL14" s="176">
        <f>CK14/$CG$4</f>
        <v>0.33333333333333331</v>
      </c>
      <c r="CM14" s="13">
        <v>29</v>
      </c>
      <c r="CN14" s="14" t="str">
        <f t="shared" si="4"/>
        <v/>
      </c>
    </row>
    <row r="15" spans="1:92" x14ac:dyDescent="0.25">
      <c r="A15" s="103" t="s">
        <v>65</v>
      </c>
      <c r="B15" s="103" t="s">
        <v>91</v>
      </c>
      <c r="C15" s="9">
        <f t="shared" si="5"/>
        <v>0</v>
      </c>
      <c r="D15" s="97"/>
      <c r="E15" s="97"/>
      <c r="F15" s="97"/>
      <c r="G15" s="4"/>
      <c r="H15" s="39" t="s">
        <v>21</v>
      </c>
      <c r="I15" s="3"/>
      <c r="J15" s="3" t="s">
        <v>35</v>
      </c>
      <c r="K15" s="3"/>
      <c r="L15" s="2" t="s">
        <v>25</v>
      </c>
      <c r="M15" s="3" t="s">
        <v>35</v>
      </c>
      <c r="N15" s="3" t="s">
        <v>35</v>
      </c>
      <c r="O15" s="4"/>
      <c r="P15" s="148" t="s">
        <v>26</v>
      </c>
      <c r="Q15" s="3" t="s">
        <v>35</v>
      </c>
      <c r="R15" s="3" t="s">
        <v>35</v>
      </c>
      <c r="S15" s="3"/>
      <c r="T15" s="12" t="s">
        <v>25</v>
      </c>
      <c r="U15" s="13" t="s">
        <v>35</v>
      </c>
      <c r="V15" s="13" t="s">
        <v>35</v>
      </c>
      <c r="W15" s="14"/>
      <c r="X15" s="13"/>
      <c r="Y15" s="13"/>
      <c r="Z15" s="13"/>
      <c r="AA15" s="13"/>
      <c r="AB15" s="12"/>
      <c r="AC15" s="13"/>
      <c r="AD15" s="13"/>
      <c r="AE15" s="14"/>
      <c r="AF15" s="13" t="s">
        <v>33</v>
      </c>
      <c r="AG15" s="13" t="s">
        <v>35</v>
      </c>
      <c r="AH15" s="13" t="s">
        <v>35</v>
      </c>
      <c r="AI15" s="13" t="s">
        <v>35</v>
      </c>
      <c r="AJ15" s="12" t="s">
        <v>33</v>
      </c>
      <c r="AK15" s="13" t="s">
        <v>35</v>
      </c>
      <c r="AL15" s="13" t="s">
        <v>35</v>
      </c>
      <c r="AM15" s="14" t="s">
        <v>35</v>
      </c>
      <c r="AN15" s="13" t="s">
        <v>33</v>
      </c>
      <c r="AO15" s="13" t="s">
        <v>35</v>
      </c>
      <c r="AP15" s="13" t="s">
        <v>35</v>
      </c>
      <c r="AQ15" s="13" t="s">
        <v>35</v>
      </c>
      <c r="AR15" s="12" t="s">
        <v>39</v>
      </c>
      <c r="AS15" s="13" t="s">
        <v>35</v>
      </c>
      <c r="AT15" s="13" t="s">
        <v>35</v>
      </c>
      <c r="AU15" s="14"/>
      <c r="AV15" s="13" t="s">
        <v>40</v>
      </c>
      <c r="AW15" s="13" t="s">
        <v>35</v>
      </c>
      <c r="AX15" s="13" t="s">
        <v>35</v>
      </c>
      <c r="AY15" s="14"/>
      <c r="BA15" s="149"/>
      <c r="BB15" s="12">
        <f>D15</f>
        <v>0</v>
      </c>
      <c r="BC15" s="13" t="str">
        <f>H15</f>
        <v>2BBA</v>
      </c>
      <c r="BD15" s="13" t="str">
        <f>L15</f>
        <v>4D7A</v>
      </c>
      <c r="BE15" s="3" t="str">
        <f>P15</f>
        <v>2FF6</v>
      </c>
      <c r="BF15" s="3" t="str">
        <f>T15</f>
        <v>4D7A</v>
      </c>
      <c r="BG15" s="3">
        <f>X15</f>
        <v>0</v>
      </c>
      <c r="BH15" s="3">
        <f>AB15</f>
        <v>0</v>
      </c>
      <c r="BI15" s="3" t="str">
        <f>AF15</f>
        <v>FAC6</v>
      </c>
      <c r="BJ15" s="3" t="str">
        <f>AJ15</f>
        <v>FAC6</v>
      </c>
      <c r="BK15" s="3" t="str">
        <f>AN15</f>
        <v>FAC6</v>
      </c>
      <c r="BL15" s="3" t="str">
        <f>AR15</f>
        <v>EA06</v>
      </c>
      <c r="BM15" s="4" t="str">
        <f>AV15</f>
        <v>2E9A</v>
      </c>
      <c r="BN15" s="4"/>
      <c r="BO15" s="13" t="s">
        <v>36</v>
      </c>
      <c r="BP15" s="4">
        <f>COUNTIF($BB$5:$BM$34,BO15)</f>
        <v>3</v>
      </c>
      <c r="BQ15" s="169">
        <f>BP15/$BS$4</f>
        <v>0.25</v>
      </c>
      <c r="BR15" s="4">
        <v>11</v>
      </c>
      <c r="BS15" s="159" t="str">
        <f t="shared" si="1"/>
        <v/>
      </c>
      <c r="BV15" s="15" t="s">
        <v>24</v>
      </c>
      <c r="BW15" s="12">
        <f>COUNTIF($BB$45:$BM$74,BV15)</f>
        <v>11</v>
      </c>
      <c r="BX15" s="169">
        <f>BW15/$BZ$4</f>
        <v>0.91666666666666663</v>
      </c>
      <c r="BY15" s="12">
        <v>11</v>
      </c>
      <c r="BZ15" s="159" t="str">
        <f t="shared" si="2"/>
        <v>14D6</v>
      </c>
      <c r="CC15" s="97" t="s">
        <v>43</v>
      </c>
      <c r="CD15" s="159">
        <f>COUNTIF($BB$80:$BM$116,CC15)</f>
        <v>10</v>
      </c>
      <c r="CE15" s="176">
        <f>CD15/$CG$4</f>
        <v>0.83333333333333337</v>
      </c>
      <c r="CF15" s="13">
        <v>24</v>
      </c>
      <c r="CG15" s="159" t="e">
        <f t="shared" si="3"/>
        <v>#N/A</v>
      </c>
      <c r="CJ15" s="97" t="s">
        <v>73</v>
      </c>
      <c r="CK15" s="159">
        <f>COUNTIF($BB$122:$BM$158,CJ15)</f>
        <v>8</v>
      </c>
      <c r="CL15" s="176">
        <f>CK15/$CG$4</f>
        <v>0.66666666666666663</v>
      </c>
      <c r="CM15" s="13">
        <v>19</v>
      </c>
      <c r="CN15" s="14" t="str">
        <f t="shared" si="4"/>
        <v/>
      </c>
    </row>
    <row r="16" spans="1:92" x14ac:dyDescent="0.25">
      <c r="A16" s="104" t="s">
        <v>68</v>
      </c>
      <c r="B16" s="104" t="s">
        <v>92</v>
      </c>
      <c r="C16" s="9">
        <f t="shared" si="5"/>
        <v>0</v>
      </c>
      <c r="D16" s="97"/>
      <c r="E16" s="97"/>
      <c r="F16" s="97"/>
      <c r="G16" s="4"/>
      <c r="H16" s="16"/>
      <c r="I16" s="3"/>
      <c r="J16" s="3"/>
      <c r="K16" s="3"/>
      <c r="L16" s="11" t="s">
        <v>26</v>
      </c>
      <c r="M16" s="3" t="s">
        <v>35</v>
      </c>
      <c r="N16" s="3" t="s">
        <v>35</v>
      </c>
      <c r="O16" s="4"/>
      <c r="P16" s="3">
        <v>2492</v>
      </c>
      <c r="Q16" s="3" t="s">
        <v>35</v>
      </c>
      <c r="R16" s="3" t="s">
        <v>35</v>
      </c>
      <c r="S16" s="3"/>
      <c r="T16" s="31" t="s">
        <v>26</v>
      </c>
      <c r="U16" s="13" t="s">
        <v>35</v>
      </c>
      <c r="V16" s="13" t="s">
        <v>35</v>
      </c>
      <c r="W16" s="14"/>
      <c r="X16" s="13"/>
      <c r="Y16" s="13"/>
      <c r="Z16" s="13"/>
      <c r="AA16" s="13"/>
      <c r="AB16" s="12"/>
      <c r="AC16" s="13"/>
      <c r="AD16" s="13"/>
      <c r="AE16" s="14"/>
      <c r="AF16" s="145" t="s">
        <v>29</v>
      </c>
      <c r="AG16" s="13" t="s">
        <v>35</v>
      </c>
      <c r="AH16" s="13" t="s">
        <v>35</v>
      </c>
      <c r="AI16" s="13" t="s">
        <v>35</v>
      </c>
      <c r="AJ16" s="32" t="s">
        <v>29</v>
      </c>
      <c r="AK16" s="13" t="s">
        <v>35</v>
      </c>
      <c r="AL16" s="13" t="s">
        <v>35</v>
      </c>
      <c r="AM16" s="14" t="s">
        <v>35</v>
      </c>
      <c r="AN16" s="145" t="s">
        <v>29</v>
      </c>
      <c r="AO16" s="13" t="s">
        <v>35</v>
      </c>
      <c r="AP16" s="13" t="s">
        <v>35</v>
      </c>
      <c r="AQ16" s="13" t="s">
        <v>35</v>
      </c>
      <c r="AR16" s="12" t="s">
        <v>40</v>
      </c>
      <c r="AS16" s="13" t="s">
        <v>35</v>
      </c>
      <c r="AT16" s="13" t="s">
        <v>35</v>
      </c>
      <c r="AU16" s="14"/>
      <c r="AV16" s="13" t="s">
        <v>41</v>
      </c>
      <c r="AW16" s="13" t="s">
        <v>35</v>
      </c>
      <c r="AX16" s="13" t="s">
        <v>35</v>
      </c>
      <c r="AY16" s="14"/>
      <c r="BA16" s="149"/>
      <c r="BB16" s="12">
        <f>D16</f>
        <v>0</v>
      </c>
      <c r="BC16" s="13">
        <f>H16</f>
        <v>0</v>
      </c>
      <c r="BD16" s="13" t="str">
        <f>L16</f>
        <v>2FF6</v>
      </c>
      <c r="BE16" s="3">
        <f>P16</f>
        <v>2492</v>
      </c>
      <c r="BF16" s="3" t="str">
        <f>T16</f>
        <v>2FF6</v>
      </c>
      <c r="BG16" s="3">
        <f>X16</f>
        <v>0</v>
      </c>
      <c r="BH16" s="3">
        <f>AB16</f>
        <v>0</v>
      </c>
      <c r="BI16" s="3" t="str">
        <f>AF16</f>
        <v>F1AE</v>
      </c>
      <c r="BJ16" s="3" t="str">
        <f>AJ16</f>
        <v>F1AE</v>
      </c>
      <c r="BK16" s="3" t="str">
        <f>AN16</f>
        <v>F1AE</v>
      </c>
      <c r="BL16" s="3" t="str">
        <f>AR16</f>
        <v>2E9A</v>
      </c>
      <c r="BM16" s="4" t="str">
        <f>AV16</f>
        <v>1EE6</v>
      </c>
      <c r="BN16" s="4"/>
      <c r="BO16" s="13" t="s">
        <v>27</v>
      </c>
      <c r="BP16" s="4">
        <f>COUNTIF($BB$5:$BM$34,BO16)</f>
        <v>8</v>
      </c>
      <c r="BQ16" s="169">
        <f>BP16/$BS$4</f>
        <v>0.66666666666666663</v>
      </c>
      <c r="BR16" s="4">
        <v>12</v>
      </c>
      <c r="BS16" s="159" t="str">
        <f t="shared" si="1"/>
        <v/>
      </c>
      <c r="BV16" s="12" t="s">
        <v>43</v>
      </c>
      <c r="BW16" s="12">
        <f>COUNTIF($BB$45:$BM$74,BV16)</f>
        <v>6</v>
      </c>
      <c r="BX16" s="169">
        <f>BW16/$BZ$4</f>
        <v>0.5</v>
      </c>
      <c r="BY16" s="12">
        <v>12</v>
      </c>
      <c r="BZ16" s="159" t="str">
        <f t="shared" si="2"/>
        <v/>
      </c>
      <c r="CC16" s="137" t="s">
        <v>31</v>
      </c>
      <c r="CD16" s="159">
        <f>COUNTIF($BB$80:$BM$116,CC16)</f>
        <v>6</v>
      </c>
      <c r="CE16" s="176">
        <f>CD16/$CG$4</f>
        <v>0.5</v>
      </c>
      <c r="CF16" s="13">
        <v>37</v>
      </c>
      <c r="CG16" s="159" t="str">
        <f t="shared" si="3"/>
        <v/>
      </c>
      <c r="CJ16" s="159" t="s">
        <v>70</v>
      </c>
      <c r="CK16" s="159">
        <f>COUNTIF($BB$122:$BM$158,CJ16)</f>
        <v>11</v>
      </c>
      <c r="CL16" s="176">
        <f>CK16/$CG$4</f>
        <v>0.91666666666666663</v>
      </c>
      <c r="CM16" s="13">
        <v>16</v>
      </c>
      <c r="CN16" s="14" t="e">
        <f t="shared" si="4"/>
        <v>#N/A</v>
      </c>
    </row>
    <row r="17" spans="1:92" x14ac:dyDescent="0.25">
      <c r="A17" s="111" t="s">
        <v>69</v>
      </c>
      <c r="B17" s="111" t="s">
        <v>93</v>
      </c>
      <c r="C17" s="9">
        <f t="shared" si="5"/>
        <v>0</v>
      </c>
      <c r="D17" s="97"/>
      <c r="E17" s="97"/>
      <c r="F17" s="97"/>
      <c r="G17" s="4"/>
      <c r="H17" s="3"/>
      <c r="I17" s="3"/>
      <c r="J17" s="3"/>
      <c r="K17" s="3"/>
      <c r="L17" s="2">
        <v>2492</v>
      </c>
      <c r="M17" s="3" t="s">
        <v>35</v>
      </c>
      <c r="N17" s="3" t="s">
        <v>35</v>
      </c>
      <c r="O17" s="4"/>
      <c r="P17" s="3" t="s">
        <v>36</v>
      </c>
      <c r="Q17" s="3"/>
      <c r="R17" s="3"/>
      <c r="S17" s="3"/>
      <c r="T17" s="12">
        <v>2492</v>
      </c>
      <c r="U17" s="13" t="s">
        <v>35</v>
      </c>
      <c r="V17" s="13" t="s">
        <v>35</v>
      </c>
      <c r="W17" s="14"/>
      <c r="X17" s="13"/>
      <c r="Y17" s="13"/>
      <c r="Z17" s="13"/>
      <c r="AA17" s="13"/>
      <c r="AB17" s="12"/>
      <c r="AC17" s="13"/>
      <c r="AD17" s="13"/>
      <c r="AE17" s="14"/>
      <c r="AF17" s="13" t="s">
        <v>39</v>
      </c>
      <c r="AG17" s="13" t="s">
        <v>35</v>
      </c>
      <c r="AH17" s="13" t="s">
        <v>35</v>
      </c>
      <c r="AI17" s="13"/>
      <c r="AJ17" s="12" t="s">
        <v>39</v>
      </c>
      <c r="AK17" s="13" t="s">
        <v>35</v>
      </c>
      <c r="AL17" s="13" t="s">
        <v>35</v>
      </c>
      <c r="AM17" s="14"/>
      <c r="AN17" s="13" t="s">
        <v>39</v>
      </c>
      <c r="AO17" s="13" t="s">
        <v>35</v>
      </c>
      <c r="AP17" s="13" t="s">
        <v>35</v>
      </c>
      <c r="AQ17" s="13"/>
      <c r="AR17" s="12" t="s">
        <v>41</v>
      </c>
      <c r="AS17" s="13" t="s">
        <v>35</v>
      </c>
      <c r="AT17" s="13" t="s">
        <v>35</v>
      </c>
      <c r="AU17" s="14"/>
      <c r="AV17" s="13">
        <v>2852</v>
      </c>
      <c r="AW17" s="13" t="s">
        <v>35</v>
      </c>
      <c r="AX17" s="13" t="s">
        <v>35</v>
      </c>
      <c r="AY17" s="14"/>
      <c r="BA17" s="149"/>
      <c r="BB17" s="12">
        <f>D17</f>
        <v>0</v>
      </c>
      <c r="BC17" s="13">
        <f>H17</f>
        <v>0</v>
      </c>
      <c r="BD17" s="13">
        <f>L17</f>
        <v>2492</v>
      </c>
      <c r="BE17" s="3" t="str">
        <f>P17</f>
        <v>1C1E</v>
      </c>
      <c r="BF17" s="3">
        <f>T17</f>
        <v>2492</v>
      </c>
      <c r="BG17" s="3">
        <f>X17</f>
        <v>0</v>
      </c>
      <c r="BH17" s="3">
        <f>AB17</f>
        <v>0</v>
      </c>
      <c r="BI17" s="3" t="str">
        <f>AF17</f>
        <v>EA06</v>
      </c>
      <c r="BJ17" s="3" t="str">
        <f>AJ17</f>
        <v>EA06</v>
      </c>
      <c r="BK17" s="3" t="str">
        <f>AN17</f>
        <v>EA06</v>
      </c>
      <c r="BL17" s="3" t="str">
        <f>AR17</f>
        <v>1EE6</v>
      </c>
      <c r="BM17" s="4">
        <f>AV17</f>
        <v>2852</v>
      </c>
      <c r="BN17" s="4"/>
      <c r="BO17" s="13" t="s">
        <v>41</v>
      </c>
      <c r="BP17" s="4">
        <f>COUNTIF($BB$5:$BM$34,BO17)</f>
        <v>2</v>
      </c>
      <c r="BQ17" s="169">
        <f>BP17/$BS$4</f>
        <v>0.16666666666666666</v>
      </c>
      <c r="BR17" s="4">
        <v>13</v>
      </c>
      <c r="BS17" s="159" t="str">
        <f t="shared" si="1"/>
        <v/>
      </c>
      <c r="BV17" s="12" t="s">
        <v>41</v>
      </c>
      <c r="BW17" s="12">
        <f>COUNTIF($BB$45:$BM$74,BV17)</f>
        <v>8</v>
      </c>
      <c r="BX17" s="169">
        <f>BW17/$BZ$4</f>
        <v>0.66666666666666663</v>
      </c>
      <c r="BY17" s="12">
        <v>13</v>
      </c>
      <c r="BZ17" s="159" t="str">
        <f t="shared" si="2"/>
        <v/>
      </c>
      <c r="CC17" s="97" t="s">
        <v>41</v>
      </c>
      <c r="CD17" s="159">
        <f>COUNTIF($BB$80:$BM$116,CC17)</f>
        <v>1</v>
      </c>
      <c r="CE17" s="176">
        <f>CD17/$CG$4</f>
        <v>8.3333333333333329E-2</v>
      </c>
      <c r="CF17" s="13">
        <v>27</v>
      </c>
      <c r="CG17" s="159" t="str">
        <f t="shared" si="3"/>
        <v/>
      </c>
      <c r="CJ17" s="159" t="s">
        <v>72</v>
      </c>
      <c r="CK17" s="159">
        <f>COUNTIF($BB$122:$BM$158,CJ17)</f>
        <v>12</v>
      </c>
      <c r="CL17" s="176">
        <f>CK17/$CG$4</f>
        <v>1</v>
      </c>
      <c r="CM17" s="13">
        <v>18</v>
      </c>
      <c r="CN17" s="14" t="e">
        <f t="shared" si="4"/>
        <v>#N/A</v>
      </c>
    </row>
    <row r="18" spans="1:92" x14ac:dyDescent="0.25">
      <c r="A18" s="112" t="s">
        <v>79</v>
      </c>
      <c r="B18" s="112" t="s">
        <v>94</v>
      </c>
      <c r="C18" s="9">
        <f t="shared" si="5"/>
        <v>0</v>
      </c>
      <c r="D18" s="97"/>
      <c r="E18" s="97"/>
      <c r="F18" s="97"/>
      <c r="G18" s="4"/>
      <c r="H18" s="3"/>
      <c r="I18" s="3"/>
      <c r="J18" s="3"/>
      <c r="K18" s="3"/>
      <c r="L18" s="2" t="s">
        <v>36</v>
      </c>
      <c r="M18" s="3"/>
      <c r="N18" s="3"/>
      <c r="O18" s="4"/>
      <c r="P18" s="3" t="s">
        <v>38</v>
      </c>
      <c r="Q18" s="3"/>
      <c r="R18" s="3"/>
      <c r="S18" s="3"/>
      <c r="T18" s="12" t="s">
        <v>36</v>
      </c>
      <c r="U18" s="13"/>
      <c r="V18" s="13"/>
      <c r="W18" s="14"/>
      <c r="X18" s="13"/>
      <c r="Y18" s="13"/>
      <c r="Z18" s="13"/>
      <c r="AA18" s="13"/>
      <c r="AB18" s="12"/>
      <c r="AC18" s="13"/>
      <c r="AD18" s="13"/>
      <c r="AE18" s="14"/>
      <c r="AF18" s="13"/>
      <c r="AG18" s="13"/>
      <c r="AH18" s="13"/>
      <c r="AI18" s="13"/>
      <c r="AJ18" s="12"/>
      <c r="AK18" s="13"/>
      <c r="AL18" s="13"/>
      <c r="AM18" s="14"/>
      <c r="AN18" s="13"/>
      <c r="AO18" s="13"/>
      <c r="AP18" s="13"/>
      <c r="AQ18" s="13"/>
      <c r="AR18" s="12">
        <v>2852</v>
      </c>
      <c r="AS18" s="13" t="s">
        <v>35</v>
      </c>
      <c r="AT18" s="13" t="s">
        <v>35</v>
      </c>
      <c r="AU18" s="14"/>
      <c r="AV18" s="13">
        <v>3842</v>
      </c>
      <c r="AW18" s="13" t="s">
        <v>35</v>
      </c>
      <c r="AX18" s="13"/>
      <c r="AY18" s="14"/>
      <c r="BA18" s="149"/>
      <c r="BB18" s="12">
        <f>D18</f>
        <v>0</v>
      </c>
      <c r="BC18" s="13">
        <f>H18</f>
        <v>0</v>
      </c>
      <c r="BD18" s="13" t="str">
        <f>L18</f>
        <v>1C1E</v>
      </c>
      <c r="BE18" s="3" t="str">
        <f>P18</f>
        <v>5E5E</v>
      </c>
      <c r="BF18" s="3" t="str">
        <f>T18</f>
        <v>1C1E</v>
      </c>
      <c r="BG18" s="3">
        <f>X18</f>
        <v>0</v>
      </c>
      <c r="BH18" s="3">
        <f>AB18</f>
        <v>0</v>
      </c>
      <c r="BI18" s="3">
        <f>AF18</f>
        <v>0</v>
      </c>
      <c r="BJ18" s="3">
        <f>AJ18</f>
        <v>0</v>
      </c>
      <c r="BK18" s="3">
        <f>AN18</f>
        <v>0</v>
      </c>
      <c r="BL18" s="3">
        <f>AR18</f>
        <v>2852</v>
      </c>
      <c r="BM18" s="4">
        <f>AV18</f>
        <v>3842</v>
      </c>
      <c r="BN18" s="4"/>
      <c r="BO18" s="13" t="s">
        <v>23</v>
      </c>
      <c r="BP18" s="4">
        <f>COUNTIF($BB$5:$BM$34,BO18)</f>
        <v>10</v>
      </c>
      <c r="BQ18" s="169">
        <f>BP18/$BS$4</f>
        <v>0.83333333333333337</v>
      </c>
      <c r="BR18" s="4">
        <v>14</v>
      </c>
      <c r="BS18" s="159" t="e">
        <f t="shared" si="1"/>
        <v>#N/A</v>
      </c>
      <c r="BV18" s="12" t="s">
        <v>50</v>
      </c>
      <c r="BW18" s="12">
        <f>COUNTIF($BB$45:$BM$74,BV18)</f>
        <v>10</v>
      </c>
      <c r="BX18" s="169">
        <f>BW18/$BZ$4</f>
        <v>0.83333333333333337</v>
      </c>
      <c r="BY18" s="12">
        <v>14</v>
      </c>
      <c r="BZ18" s="159" t="e">
        <f t="shared" si="2"/>
        <v>#N/A</v>
      </c>
      <c r="CC18" s="139" t="s">
        <v>77</v>
      </c>
      <c r="CD18" s="159">
        <f>COUNTIF($BB$80:$BM$116,CC18)</f>
        <v>1</v>
      </c>
      <c r="CE18" s="176">
        <f>CD18/$CG$4</f>
        <v>8.3333333333333329E-2</v>
      </c>
      <c r="CF18" s="13">
        <v>46</v>
      </c>
      <c r="CG18" s="159" t="str">
        <f t="shared" si="3"/>
        <v/>
      </c>
      <c r="CJ18" s="97" t="s">
        <v>21</v>
      </c>
      <c r="CK18" s="159">
        <f>COUNTIF($BB$122:$BM$158,CJ18)</f>
        <v>2</v>
      </c>
      <c r="CL18" s="176">
        <f>CK18/$CG$4</f>
        <v>0.16666666666666666</v>
      </c>
      <c r="CM18" s="13">
        <v>20</v>
      </c>
      <c r="CN18" s="14" t="str">
        <f t="shared" si="4"/>
        <v/>
      </c>
    </row>
    <row r="19" spans="1:92" x14ac:dyDescent="0.25">
      <c r="A19" s="43"/>
      <c r="D19" s="97"/>
      <c r="E19" s="97"/>
      <c r="F19" s="97"/>
      <c r="G19" s="4"/>
      <c r="H19" s="3"/>
      <c r="I19" s="3"/>
      <c r="J19" s="3"/>
      <c r="K19" s="3"/>
      <c r="L19" s="2" t="s">
        <v>37</v>
      </c>
      <c r="M19" s="3"/>
      <c r="N19" s="3"/>
      <c r="O19" s="4"/>
      <c r="P19" s="3" t="s">
        <v>32</v>
      </c>
      <c r="Q19" s="3" t="s">
        <v>35</v>
      </c>
      <c r="R19" s="3" t="s">
        <v>35</v>
      </c>
      <c r="S19" s="3" t="s">
        <v>35</v>
      </c>
      <c r="T19" s="12" t="s">
        <v>37</v>
      </c>
      <c r="U19" s="13"/>
      <c r="V19" s="13"/>
      <c r="W19" s="14"/>
      <c r="X19" s="13"/>
      <c r="Y19" s="13"/>
      <c r="Z19" s="13"/>
      <c r="AA19" s="13"/>
      <c r="AB19" s="12"/>
      <c r="AC19" s="13"/>
      <c r="AD19" s="13"/>
      <c r="AE19" s="14"/>
      <c r="AF19" s="13"/>
      <c r="AG19" s="13"/>
      <c r="AH19" s="13"/>
      <c r="AI19" s="13"/>
      <c r="AJ19" s="12"/>
      <c r="AK19" s="13"/>
      <c r="AL19" s="13"/>
      <c r="AM19" s="14"/>
      <c r="AN19" s="13"/>
      <c r="AO19" s="13"/>
      <c r="AP19" s="13"/>
      <c r="AQ19" s="13"/>
      <c r="AR19" s="35">
        <v>3842</v>
      </c>
      <c r="AS19" s="34" t="s">
        <v>35</v>
      </c>
      <c r="AT19" s="34" t="s">
        <v>35</v>
      </c>
      <c r="AU19" s="36"/>
      <c r="AV19" s="13" t="s">
        <v>42</v>
      </c>
      <c r="AW19" s="13" t="s">
        <v>35</v>
      </c>
      <c r="AX19" s="13" t="s">
        <v>35</v>
      </c>
      <c r="AY19" s="14"/>
      <c r="BA19" s="149"/>
      <c r="BB19" s="12">
        <f>D19</f>
        <v>0</v>
      </c>
      <c r="BC19" s="13">
        <f>H19</f>
        <v>0</v>
      </c>
      <c r="BD19" s="13" t="str">
        <f>L19</f>
        <v>2EC6</v>
      </c>
      <c r="BE19" s="3" t="str">
        <f>P19</f>
        <v>06BE</v>
      </c>
      <c r="BF19" s="3" t="str">
        <f>T19</f>
        <v>2EC6</v>
      </c>
      <c r="BG19" s="3">
        <f>X19</f>
        <v>0</v>
      </c>
      <c r="BH19" s="3">
        <f>AB19</f>
        <v>0</v>
      </c>
      <c r="BI19" s="3">
        <f>AF19</f>
        <v>0</v>
      </c>
      <c r="BJ19" s="3">
        <f>AJ19</f>
        <v>0</v>
      </c>
      <c r="BK19" s="3">
        <f>AN19</f>
        <v>0</v>
      </c>
      <c r="BL19" s="3">
        <f>AR19</f>
        <v>3842</v>
      </c>
      <c r="BM19" s="4" t="str">
        <f>AV19</f>
        <v>333E</v>
      </c>
      <c r="BN19" s="4"/>
      <c r="BO19" s="13" t="s">
        <v>21</v>
      </c>
      <c r="BP19" s="4">
        <f>COUNTIF($BB$5:$BM$34,BO19)</f>
        <v>12</v>
      </c>
      <c r="BQ19" s="169">
        <f>BP19/$BS$4</f>
        <v>1</v>
      </c>
      <c r="BR19" s="4">
        <v>15</v>
      </c>
      <c r="BS19" s="159" t="e">
        <f t="shared" si="1"/>
        <v>#N/A</v>
      </c>
      <c r="BV19" s="12" t="s">
        <v>53</v>
      </c>
      <c r="BW19" s="12">
        <f>COUNTIF($BB$45:$BM$74,BV19)</f>
        <v>10</v>
      </c>
      <c r="BX19" s="169">
        <f>BW19/$BZ$4</f>
        <v>0.83333333333333337</v>
      </c>
      <c r="BY19" s="12">
        <v>15</v>
      </c>
      <c r="BZ19" s="159" t="e">
        <f t="shared" si="2"/>
        <v>#N/A</v>
      </c>
      <c r="CC19" s="97" t="s">
        <v>73</v>
      </c>
      <c r="CD19" s="159">
        <f>COUNTIF($BB$80:$BM$116,CC19)</f>
        <v>3</v>
      </c>
      <c r="CE19" s="176">
        <f>CD19/$CG$4</f>
        <v>0.25</v>
      </c>
      <c r="CF19" s="13">
        <v>42</v>
      </c>
      <c r="CG19" s="159" t="str">
        <f t="shared" si="3"/>
        <v/>
      </c>
      <c r="CJ19" s="97" t="s">
        <v>58</v>
      </c>
      <c r="CK19" s="159">
        <f>COUNTIF($BB$122:$BM$158,CJ19)</f>
        <v>1</v>
      </c>
      <c r="CL19" s="176">
        <f>CK19/$CG$4</f>
        <v>8.3333333333333329E-2</v>
      </c>
      <c r="CM19" s="13">
        <v>26</v>
      </c>
      <c r="CN19" s="14" t="str">
        <f t="shared" si="4"/>
        <v/>
      </c>
    </row>
    <row r="20" spans="1:92" x14ac:dyDescent="0.25">
      <c r="A20" s="43"/>
      <c r="D20" s="97"/>
      <c r="E20" s="97"/>
      <c r="F20" s="97"/>
      <c r="G20" s="4"/>
      <c r="H20" s="3"/>
      <c r="I20" s="3"/>
      <c r="J20" s="3"/>
      <c r="K20" s="3"/>
      <c r="L20" s="2"/>
      <c r="M20" s="3"/>
      <c r="N20" s="3"/>
      <c r="O20" s="4"/>
      <c r="P20" s="3" t="s">
        <v>33</v>
      </c>
      <c r="Q20" s="3" t="s">
        <v>35</v>
      </c>
      <c r="R20" s="3" t="s">
        <v>35</v>
      </c>
      <c r="S20" s="3" t="s">
        <v>35</v>
      </c>
      <c r="T20" s="12" t="s">
        <v>38</v>
      </c>
      <c r="U20" s="13"/>
      <c r="V20" s="13"/>
      <c r="W20" s="14"/>
      <c r="X20" s="13"/>
      <c r="Y20" s="13"/>
      <c r="Z20" s="13"/>
      <c r="AA20" s="13"/>
      <c r="AB20" s="12"/>
      <c r="AC20" s="13"/>
      <c r="AD20" s="13"/>
      <c r="AE20" s="14"/>
      <c r="AF20" s="13"/>
      <c r="AG20" s="13"/>
      <c r="AH20" s="13"/>
      <c r="AI20" s="13"/>
      <c r="AJ20" s="12"/>
      <c r="AK20" s="13"/>
      <c r="AL20" s="13"/>
      <c r="AM20" s="14"/>
      <c r="AN20" s="13"/>
      <c r="AO20" s="13"/>
      <c r="AP20" s="13"/>
      <c r="AQ20" s="13"/>
      <c r="AR20" s="12" t="s">
        <v>42</v>
      </c>
      <c r="AS20" s="13" t="s">
        <v>35</v>
      </c>
      <c r="AT20" s="13" t="s">
        <v>35</v>
      </c>
      <c r="AU20" s="14"/>
      <c r="AV20" s="13" t="s">
        <v>43</v>
      </c>
      <c r="AW20" s="13" t="s">
        <v>35</v>
      </c>
      <c r="AX20" s="13" t="s">
        <v>35</v>
      </c>
      <c r="AY20" s="14"/>
      <c r="BA20" s="149"/>
      <c r="BB20" s="12">
        <f>D20</f>
        <v>0</v>
      </c>
      <c r="BC20" s="13">
        <f>H20</f>
        <v>0</v>
      </c>
      <c r="BD20" s="13">
        <f>L20</f>
        <v>0</v>
      </c>
      <c r="BE20" s="3" t="str">
        <f>P20</f>
        <v>FAC6</v>
      </c>
      <c r="BF20" s="3" t="str">
        <f>T20</f>
        <v>5E5E</v>
      </c>
      <c r="BG20" s="3">
        <f>X20</f>
        <v>0</v>
      </c>
      <c r="BH20" s="3">
        <f>AB20</f>
        <v>0</v>
      </c>
      <c r="BI20" s="3">
        <f>AF20</f>
        <v>0</v>
      </c>
      <c r="BJ20" s="3">
        <f>AJ20</f>
        <v>0</v>
      </c>
      <c r="BK20" s="3">
        <f>AN20</f>
        <v>0</v>
      </c>
      <c r="BL20" s="3" t="str">
        <f>AR20</f>
        <v>333E</v>
      </c>
      <c r="BM20" s="4" t="str">
        <f>AV20</f>
        <v>1A1E</v>
      </c>
      <c r="BN20" s="4"/>
      <c r="BO20" s="13" t="s">
        <v>40</v>
      </c>
      <c r="BP20" s="4">
        <f>COUNTIF($BB$5:$BM$34,BO20)</f>
        <v>2</v>
      </c>
      <c r="BQ20" s="169">
        <f>BP20/$BS$4</f>
        <v>0.16666666666666666</v>
      </c>
      <c r="BR20" s="4">
        <v>16</v>
      </c>
      <c r="BS20" s="159" t="str">
        <f t="shared" si="1"/>
        <v/>
      </c>
      <c r="BV20" s="12" t="s">
        <v>45</v>
      </c>
      <c r="BW20" s="12">
        <f>COUNTIF($BB$45:$BM$74,BV20)</f>
        <v>11</v>
      </c>
      <c r="BX20" s="169">
        <f>BW20/$BZ$4</f>
        <v>0.91666666666666663</v>
      </c>
      <c r="BY20" s="12">
        <v>16</v>
      </c>
      <c r="BZ20" s="159" t="e">
        <f t="shared" si="2"/>
        <v>#N/A</v>
      </c>
      <c r="CC20" s="97" t="s">
        <v>50</v>
      </c>
      <c r="CD20" s="159">
        <f>COUNTIF($BB$80:$BM$116,CC20)</f>
        <v>2</v>
      </c>
      <c r="CE20" s="176">
        <f>CD20/$CG$4</f>
        <v>0.16666666666666666</v>
      </c>
      <c r="CF20" s="13">
        <v>21</v>
      </c>
      <c r="CG20" s="159" t="str">
        <f t="shared" si="3"/>
        <v/>
      </c>
      <c r="CJ20" s="159" t="s">
        <v>40</v>
      </c>
      <c r="CK20" s="159">
        <f>COUNTIF($BB$122:$BM$158,CJ20)</f>
        <v>9</v>
      </c>
      <c r="CL20" s="176">
        <f>CK20/$CG$4</f>
        <v>0.75</v>
      </c>
      <c r="CM20" s="13">
        <v>6</v>
      </c>
      <c r="CN20" s="14" t="e">
        <f t="shared" si="4"/>
        <v>#N/A</v>
      </c>
    </row>
    <row r="21" spans="1:92" x14ac:dyDescent="0.25">
      <c r="A21" s="43"/>
      <c r="D21" s="97"/>
      <c r="E21" s="97"/>
      <c r="F21" s="97"/>
      <c r="G21" s="4"/>
      <c r="H21" s="3"/>
      <c r="I21" s="3"/>
      <c r="J21" s="3"/>
      <c r="K21" s="3"/>
      <c r="L21" s="2"/>
      <c r="M21" s="3"/>
      <c r="N21" s="3"/>
      <c r="O21" s="4"/>
      <c r="P21" s="3"/>
      <c r="Q21" s="3"/>
      <c r="R21" s="3"/>
      <c r="S21" s="3"/>
      <c r="T21" s="78" t="s">
        <v>32</v>
      </c>
      <c r="U21" s="13" t="s">
        <v>35</v>
      </c>
      <c r="V21" s="3" t="s">
        <v>35</v>
      </c>
      <c r="W21" s="4" t="s">
        <v>35</v>
      </c>
      <c r="X21" s="16"/>
      <c r="Y21" s="16"/>
      <c r="Z21" s="16"/>
      <c r="AA21" s="16"/>
      <c r="AB21" s="10"/>
      <c r="AC21" s="16"/>
      <c r="AD21" s="16"/>
      <c r="AE21" s="17"/>
      <c r="AF21" s="16"/>
      <c r="AG21" s="16"/>
      <c r="AH21" s="16"/>
      <c r="AI21" s="16"/>
      <c r="AJ21" s="10"/>
      <c r="AK21" s="16"/>
      <c r="AL21" s="16"/>
      <c r="AM21" s="17"/>
      <c r="AN21" s="16"/>
      <c r="AO21" s="16"/>
      <c r="AP21" s="16"/>
      <c r="AQ21" s="16"/>
      <c r="AR21" s="33" t="s">
        <v>43</v>
      </c>
      <c r="AS21" s="34" t="s">
        <v>35</v>
      </c>
      <c r="AT21" s="34" t="s">
        <v>35</v>
      </c>
      <c r="AU21" s="17"/>
      <c r="AV21" s="13">
        <v>1282</v>
      </c>
      <c r="AW21" s="13" t="s">
        <v>35</v>
      </c>
      <c r="AX21" s="13" t="s">
        <v>35</v>
      </c>
      <c r="AY21" s="14"/>
      <c r="BA21" s="149"/>
      <c r="BB21" s="12">
        <f>D21</f>
        <v>0</v>
      </c>
      <c r="BC21" s="13">
        <f>H21</f>
        <v>0</v>
      </c>
      <c r="BD21" s="13">
        <f>L21</f>
        <v>0</v>
      </c>
      <c r="BE21" s="3">
        <f>P21</f>
        <v>0</v>
      </c>
      <c r="BF21" s="3" t="str">
        <f>T21</f>
        <v>06BE</v>
      </c>
      <c r="BG21" s="3">
        <f>X21</f>
        <v>0</v>
      </c>
      <c r="BH21" s="3">
        <f>AB21</f>
        <v>0</v>
      </c>
      <c r="BI21" s="3">
        <f>AF21</f>
        <v>0</v>
      </c>
      <c r="BJ21" s="3">
        <f>AJ21</f>
        <v>0</v>
      </c>
      <c r="BK21" s="3">
        <f>AN21</f>
        <v>0</v>
      </c>
      <c r="BL21" s="3" t="str">
        <f>AR21</f>
        <v>1A1E</v>
      </c>
      <c r="BM21" s="4">
        <f>AV21</f>
        <v>1282</v>
      </c>
      <c r="BN21" s="4"/>
      <c r="BO21" s="13" t="s">
        <v>37</v>
      </c>
      <c r="BP21" s="4">
        <f>COUNTIF($BB$5:$BM$34,BO21)</f>
        <v>2</v>
      </c>
      <c r="BQ21" s="169">
        <f>BP21/$BS$4</f>
        <v>0.16666666666666666</v>
      </c>
      <c r="BR21" s="4">
        <v>17</v>
      </c>
      <c r="BS21" s="159" t="str">
        <f t="shared" si="1"/>
        <v/>
      </c>
      <c r="BV21" s="12" t="s">
        <v>21</v>
      </c>
      <c r="BW21" s="12">
        <f>COUNTIF($BB$45:$BM$74,BV21)</f>
        <v>10</v>
      </c>
      <c r="BX21" s="169">
        <f>BW21/$BZ$4</f>
        <v>0.83333333333333337</v>
      </c>
      <c r="BY21" s="12">
        <v>17</v>
      </c>
      <c r="BZ21" s="159" t="e">
        <f t="shared" si="2"/>
        <v>#N/A</v>
      </c>
      <c r="CC21" s="97" t="s">
        <v>70</v>
      </c>
      <c r="CD21" s="159">
        <f>COUNTIF($BB$80:$BM$116,CC21)</f>
        <v>3</v>
      </c>
      <c r="CE21" s="176">
        <f>CD21/$CG$4</f>
        <v>0.25</v>
      </c>
      <c r="CF21" s="13">
        <v>39</v>
      </c>
      <c r="CG21" s="159" t="str">
        <f t="shared" si="3"/>
        <v/>
      </c>
      <c r="CJ21" s="182" t="s">
        <v>26</v>
      </c>
      <c r="CK21" s="159">
        <f>COUNTIF($BB$122:$BM$158,CJ21)</f>
        <v>12</v>
      </c>
      <c r="CL21" s="176">
        <f>CK21/$CG$4</f>
        <v>1</v>
      </c>
      <c r="CM21" s="13">
        <v>3</v>
      </c>
      <c r="CN21" s="14" t="str">
        <f t="shared" si="4"/>
        <v>2FF6</v>
      </c>
    </row>
    <row r="22" spans="1:92" x14ac:dyDescent="0.25">
      <c r="A22" s="43"/>
      <c r="D22" s="97"/>
      <c r="E22" s="97"/>
      <c r="F22" s="97"/>
      <c r="G22" s="4"/>
      <c r="H22" s="3"/>
      <c r="I22" s="3"/>
      <c r="J22" s="3"/>
      <c r="K22" s="3"/>
      <c r="L22" s="2"/>
      <c r="M22" s="3"/>
      <c r="N22" s="3"/>
      <c r="O22" s="4"/>
      <c r="P22" s="3"/>
      <c r="Q22" s="3"/>
      <c r="R22" s="3"/>
      <c r="S22" s="3"/>
      <c r="T22" s="2" t="s">
        <v>33</v>
      </c>
      <c r="U22" s="13" t="s">
        <v>35</v>
      </c>
      <c r="V22" s="3" t="s">
        <v>35</v>
      </c>
      <c r="W22" s="4" t="s">
        <v>35</v>
      </c>
      <c r="X22" s="16"/>
      <c r="Y22" s="16"/>
      <c r="Z22" s="16"/>
      <c r="AA22" s="16"/>
      <c r="AB22" s="10"/>
      <c r="AC22" s="16"/>
      <c r="AD22" s="16"/>
      <c r="AE22" s="17"/>
      <c r="AF22" s="16"/>
      <c r="AG22" s="16"/>
      <c r="AH22" s="16"/>
      <c r="AI22" s="16"/>
      <c r="AJ22" s="10"/>
      <c r="AK22" s="16"/>
      <c r="AL22" s="16"/>
      <c r="AM22" s="17"/>
      <c r="AN22" s="16"/>
      <c r="AO22" s="16"/>
      <c r="AP22" s="16"/>
      <c r="AQ22" s="16"/>
      <c r="AR22" s="12">
        <v>1282</v>
      </c>
      <c r="AS22" s="34" t="s">
        <v>35</v>
      </c>
      <c r="AT22" s="34" t="s">
        <v>35</v>
      </c>
      <c r="AU22" s="17"/>
      <c r="AV22" s="13">
        <v>2822</v>
      </c>
      <c r="AW22" s="13" t="s">
        <v>35</v>
      </c>
      <c r="AX22" s="13" t="s">
        <v>35</v>
      </c>
      <c r="AY22" s="14"/>
      <c r="BA22" s="149"/>
      <c r="BB22" s="12">
        <f>D22</f>
        <v>0</v>
      </c>
      <c r="BC22" s="13">
        <f>H22</f>
        <v>0</v>
      </c>
      <c r="BD22" s="13">
        <f>L22</f>
        <v>0</v>
      </c>
      <c r="BE22" s="3">
        <f>P22</f>
        <v>0</v>
      </c>
      <c r="BF22" s="3" t="str">
        <f>T22</f>
        <v>FAC6</v>
      </c>
      <c r="BG22" s="3">
        <f>X22</f>
        <v>0</v>
      </c>
      <c r="BH22" s="3">
        <f>AB22</f>
        <v>0</v>
      </c>
      <c r="BI22" s="3">
        <f>AF22</f>
        <v>0</v>
      </c>
      <c r="BJ22" s="3">
        <f>AJ22</f>
        <v>0</v>
      </c>
      <c r="BK22" s="3">
        <f>AN22</f>
        <v>0</v>
      </c>
      <c r="BL22" s="3">
        <f>AR22</f>
        <v>1282</v>
      </c>
      <c r="BM22" s="4">
        <f>AV22</f>
        <v>2822</v>
      </c>
      <c r="BN22" s="4"/>
      <c r="BO22" s="143" t="s">
        <v>26</v>
      </c>
      <c r="BP22" s="4">
        <f>COUNTIF($BB$5:$BM$34,BO22)</f>
        <v>8</v>
      </c>
      <c r="BQ22" s="169">
        <f>BP22/$BS$4</f>
        <v>0.66666666666666663</v>
      </c>
      <c r="BR22" s="4">
        <v>18</v>
      </c>
      <c r="BS22" s="159" t="str">
        <f t="shared" si="1"/>
        <v/>
      </c>
      <c r="BV22" s="12" t="s">
        <v>58</v>
      </c>
      <c r="BW22" s="12">
        <f>COUNTIF($BB$45:$BM$74,BV22)</f>
        <v>2</v>
      </c>
      <c r="BX22" s="169">
        <f>BW22/$BZ$4</f>
        <v>0.16666666666666666</v>
      </c>
      <c r="BY22" s="12">
        <v>18</v>
      </c>
      <c r="BZ22" s="159" t="str">
        <f t="shared" si="2"/>
        <v/>
      </c>
      <c r="CC22" s="97" t="s">
        <v>72</v>
      </c>
      <c r="CD22" s="159">
        <f>COUNTIF($BB$80:$BM$116,CC22)</f>
        <v>6</v>
      </c>
      <c r="CE22" s="176">
        <f>CD22/$CG$4</f>
        <v>0.5</v>
      </c>
      <c r="CF22" s="13">
        <v>41</v>
      </c>
      <c r="CG22" s="159" t="str">
        <f t="shared" si="3"/>
        <v/>
      </c>
      <c r="CJ22" s="185" t="s">
        <v>30</v>
      </c>
      <c r="CK22" s="159">
        <f>COUNTIF($BB$122:$BM$158,CJ22)</f>
        <v>12</v>
      </c>
      <c r="CL22" s="176">
        <f>CK22/$CG$4</f>
        <v>1</v>
      </c>
      <c r="CM22" s="13">
        <v>10</v>
      </c>
      <c r="CN22" s="14" t="str">
        <f t="shared" si="4"/>
        <v>307A</v>
      </c>
    </row>
    <row r="23" spans="1:92" x14ac:dyDescent="0.25">
      <c r="A23" s="43"/>
      <c r="D23" s="97"/>
      <c r="E23" s="97"/>
      <c r="F23" s="97"/>
      <c r="G23" s="4"/>
      <c r="H23" s="3"/>
      <c r="I23" s="3"/>
      <c r="J23" s="3"/>
      <c r="K23" s="3"/>
      <c r="L23" s="2"/>
      <c r="M23" s="3"/>
      <c r="N23" s="3"/>
      <c r="O23" s="4"/>
      <c r="P23" s="3"/>
      <c r="Q23" s="3"/>
      <c r="R23" s="3"/>
      <c r="S23" s="3"/>
      <c r="T23" s="2"/>
      <c r="U23" s="3"/>
      <c r="V23" s="3"/>
      <c r="W23" s="4"/>
      <c r="X23" s="16"/>
      <c r="Y23" s="16"/>
      <c r="Z23" s="16"/>
      <c r="AA23" s="16"/>
      <c r="AB23" s="10"/>
      <c r="AC23" s="16"/>
      <c r="AD23" s="16"/>
      <c r="AE23" s="17"/>
      <c r="AF23" s="16"/>
      <c r="AG23" s="16"/>
      <c r="AH23" s="16"/>
      <c r="AI23" s="16"/>
      <c r="AJ23" s="10"/>
      <c r="AK23" s="16"/>
      <c r="AL23" s="16"/>
      <c r="AM23" s="17"/>
      <c r="AN23" s="16"/>
      <c r="AO23" s="16"/>
      <c r="AP23" s="16"/>
      <c r="AQ23" s="16"/>
      <c r="AR23" s="12">
        <v>2822</v>
      </c>
      <c r="AS23" s="34" t="s">
        <v>35</v>
      </c>
      <c r="AT23" s="34" t="s">
        <v>35</v>
      </c>
      <c r="AU23" s="17"/>
      <c r="AV23" s="13"/>
      <c r="AW23" s="13"/>
      <c r="AX23" s="13"/>
      <c r="AY23" s="14"/>
      <c r="BA23" s="149"/>
      <c r="BB23" s="12">
        <f>D23</f>
        <v>0</v>
      </c>
      <c r="BC23" s="13">
        <f>H23</f>
        <v>0</v>
      </c>
      <c r="BD23" s="13">
        <f>L23</f>
        <v>0</v>
      </c>
      <c r="BE23" s="3">
        <f>P23</f>
        <v>0</v>
      </c>
      <c r="BF23" s="3">
        <f>T23</f>
        <v>0</v>
      </c>
      <c r="BG23" s="3">
        <f>X23</f>
        <v>0</v>
      </c>
      <c r="BH23" s="3">
        <f>AB23</f>
        <v>0</v>
      </c>
      <c r="BI23" s="3">
        <f>AF23</f>
        <v>0</v>
      </c>
      <c r="BJ23" s="3">
        <f>AJ23</f>
        <v>0</v>
      </c>
      <c r="BK23" s="3">
        <f>AN23</f>
        <v>0</v>
      </c>
      <c r="BL23" s="3">
        <f>AR23</f>
        <v>2822</v>
      </c>
      <c r="BM23" s="4">
        <f>AV23</f>
        <v>0</v>
      </c>
      <c r="BN23" s="4"/>
      <c r="BO23" s="13" t="s">
        <v>42</v>
      </c>
      <c r="BP23" s="4">
        <f>COUNTIF($BB$5:$BM$34,BO23)</f>
        <v>2</v>
      </c>
      <c r="BQ23" s="169">
        <f>BP23/$BS$4</f>
        <v>0.16666666666666666</v>
      </c>
      <c r="BR23" s="4">
        <v>19</v>
      </c>
      <c r="BS23" s="159" t="str">
        <f t="shared" si="1"/>
        <v/>
      </c>
      <c r="BV23" s="12" t="s">
        <v>40</v>
      </c>
      <c r="BW23" s="12">
        <f>COUNTIF($BB$45:$BM$74,BV23)</f>
        <v>12</v>
      </c>
      <c r="BX23" s="169">
        <f>BW23/$BZ$4</f>
        <v>1</v>
      </c>
      <c r="BY23" s="12">
        <v>19</v>
      </c>
      <c r="BZ23" s="159" t="e">
        <f t="shared" si="2"/>
        <v>#N/A</v>
      </c>
      <c r="CC23" s="97" t="s">
        <v>45</v>
      </c>
      <c r="CD23" s="159">
        <f>COUNTIF($BB$80:$BM$116,CC23)</f>
        <v>1</v>
      </c>
      <c r="CE23" s="176">
        <f>CD23/$CG$4</f>
        <v>8.3333333333333329E-2</v>
      </c>
      <c r="CF23" s="13">
        <v>25</v>
      </c>
      <c r="CG23" s="159" t="str">
        <f t="shared" si="3"/>
        <v/>
      </c>
      <c r="CJ23" s="159" t="s">
        <v>60</v>
      </c>
      <c r="CK23" s="159">
        <f>COUNTIF($BB$122:$BM$158,CJ23)</f>
        <v>6</v>
      </c>
      <c r="CL23" s="176">
        <f>CK23/$CG$4</f>
        <v>0.5</v>
      </c>
      <c r="CM23" s="13">
        <v>11</v>
      </c>
      <c r="CN23" s="14" t="str">
        <f t="shared" si="4"/>
        <v/>
      </c>
    </row>
    <row r="24" spans="1:92" x14ac:dyDescent="0.25">
      <c r="A24" s="43"/>
      <c r="D24" s="97"/>
      <c r="E24" s="97"/>
      <c r="F24" s="97"/>
      <c r="G24" s="4"/>
      <c r="H24" s="3"/>
      <c r="I24" s="3"/>
      <c r="J24" s="3"/>
      <c r="K24" s="3"/>
      <c r="L24" s="2"/>
      <c r="M24" s="3"/>
      <c r="N24" s="3"/>
      <c r="O24" s="4"/>
      <c r="P24" s="3"/>
      <c r="Q24" s="3"/>
      <c r="R24" s="3"/>
      <c r="S24" s="3"/>
      <c r="T24" s="2"/>
      <c r="U24" s="3"/>
      <c r="V24" s="3"/>
      <c r="W24" s="4"/>
      <c r="X24" s="16"/>
      <c r="Y24" s="16"/>
      <c r="Z24" s="16"/>
      <c r="AA24" s="16"/>
      <c r="AB24" s="10"/>
      <c r="AC24" s="16"/>
      <c r="AD24" s="16"/>
      <c r="AE24" s="17"/>
      <c r="AF24" s="16"/>
      <c r="AG24" s="16"/>
      <c r="AH24" s="16"/>
      <c r="AI24" s="16"/>
      <c r="AJ24" s="10"/>
      <c r="AK24" s="16"/>
      <c r="AL24" s="16"/>
      <c r="AM24" s="17"/>
      <c r="AN24" s="16"/>
      <c r="AO24" s="16"/>
      <c r="AP24" s="16"/>
      <c r="AQ24" s="16"/>
      <c r="AR24" s="10"/>
      <c r="AS24" s="16"/>
      <c r="AT24" s="16"/>
      <c r="AU24" s="17"/>
      <c r="AV24" s="13"/>
      <c r="AW24" s="13"/>
      <c r="AX24" s="13"/>
      <c r="AY24" s="14"/>
      <c r="BA24" s="149"/>
      <c r="BB24" s="12">
        <f>D24</f>
        <v>0</v>
      </c>
      <c r="BC24" s="13">
        <f>H24</f>
        <v>0</v>
      </c>
      <c r="BD24" s="13">
        <f>L24</f>
        <v>0</v>
      </c>
      <c r="BE24" s="3">
        <f>P24</f>
        <v>0</v>
      </c>
      <c r="BF24" s="3">
        <f>T24</f>
        <v>0</v>
      </c>
      <c r="BG24" s="3">
        <f>X24</f>
        <v>0</v>
      </c>
      <c r="BH24" s="3">
        <f>AB24</f>
        <v>0</v>
      </c>
      <c r="BI24" s="3">
        <f>AF24</f>
        <v>0</v>
      </c>
      <c r="BJ24" s="3">
        <f>AJ24</f>
        <v>0</v>
      </c>
      <c r="BK24" s="3">
        <f>AN24</f>
        <v>0</v>
      </c>
      <c r="BL24" s="3">
        <f>AR24</f>
        <v>0</v>
      </c>
      <c r="BM24" s="4">
        <f>AV24</f>
        <v>0</v>
      </c>
      <c r="BN24" s="4"/>
      <c r="BO24" s="13" t="s">
        <v>22</v>
      </c>
      <c r="BP24" s="4">
        <f>COUNTIF($BB$5:$BM$34,BO24)</f>
        <v>4</v>
      </c>
      <c r="BQ24" s="169">
        <f>BP24/$BS$4</f>
        <v>0.33333333333333331</v>
      </c>
      <c r="BR24" s="4">
        <v>20</v>
      </c>
      <c r="BS24" s="159" t="str">
        <f t="shared" si="1"/>
        <v/>
      </c>
      <c r="BV24" s="31" t="s">
        <v>26</v>
      </c>
      <c r="BW24" s="12">
        <f>COUNTIF($BB$45:$BM$74,BV24)</f>
        <v>11</v>
      </c>
      <c r="BX24" s="169">
        <f>BW24/$BZ$4</f>
        <v>0.91666666666666663</v>
      </c>
      <c r="BY24" s="12">
        <v>20</v>
      </c>
      <c r="BZ24" s="159" t="str">
        <f t="shared" si="2"/>
        <v>2FF6</v>
      </c>
      <c r="CC24" s="159" t="s">
        <v>21</v>
      </c>
      <c r="CD24" s="159">
        <f>COUNTIF($BB$80:$BM$116,CC24)</f>
        <v>5</v>
      </c>
      <c r="CE24" s="176">
        <f>CD24/$CG$4</f>
        <v>0.41666666666666669</v>
      </c>
      <c r="CF24" s="13">
        <v>18</v>
      </c>
      <c r="CG24" s="159" t="str">
        <f t="shared" si="3"/>
        <v/>
      </c>
      <c r="CJ24" s="159" t="s">
        <v>19</v>
      </c>
      <c r="CK24" s="159">
        <f>COUNTIF($BB$122:$BM$158,CJ24)</f>
        <v>7</v>
      </c>
      <c r="CL24" s="176">
        <f>CK24/$CG$4</f>
        <v>0.58333333333333337</v>
      </c>
      <c r="CM24" s="13">
        <v>1</v>
      </c>
      <c r="CN24" s="14" t="str">
        <f t="shared" si="4"/>
        <v/>
      </c>
    </row>
    <row r="25" spans="1:92" x14ac:dyDescent="0.25">
      <c r="A25" s="43"/>
      <c r="D25" s="97"/>
      <c r="E25" s="97"/>
      <c r="F25" s="97"/>
      <c r="G25" s="4"/>
      <c r="H25" s="3"/>
      <c r="I25" s="3"/>
      <c r="J25" s="3"/>
      <c r="K25" s="3"/>
      <c r="L25" s="2"/>
      <c r="M25" s="3"/>
      <c r="N25" s="3"/>
      <c r="O25" s="4"/>
      <c r="P25" s="3"/>
      <c r="Q25" s="3"/>
      <c r="R25" s="3"/>
      <c r="S25" s="3"/>
      <c r="T25" s="2"/>
      <c r="U25" s="3"/>
      <c r="V25" s="3"/>
      <c r="W25" s="4"/>
      <c r="X25" s="16"/>
      <c r="Y25" s="16"/>
      <c r="Z25" s="16"/>
      <c r="AA25" s="16"/>
      <c r="AB25" s="10"/>
      <c r="AC25" s="16"/>
      <c r="AD25" s="16"/>
      <c r="AE25" s="17"/>
      <c r="AF25" s="16"/>
      <c r="AG25" s="16"/>
      <c r="AH25" s="16"/>
      <c r="AI25" s="16"/>
      <c r="AJ25" s="10"/>
      <c r="AK25" s="16"/>
      <c r="AL25" s="16"/>
      <c r="AM25" s="17"/>
      <c r="AN25" s="16"/>
      <c r="AO25" s="16"/>
      <c r="AP25" s="16"/>
      <c r="AQ25" s="16"/>
      <c r="AR25" s="10"/>
      <c r="AS25" s="16"/>
      <c r="AT25" s="16"/>
      <c r="AU25" s="17"/>
      <c r="AV25" s="16"/>
      <c r="AW25" s="16"/>
      <c r="AX25" s="16"/>
      <c r="AY25" s="17"/>
      <c r="BA25" s="149"/>
      <c r="BB25" s="12">
        <f>D25</f>
        <v>0</v>
      </c>
      <c r="BC25" s="13">
        <f>H25</f>
        <v>0</v>
      </c>
      <c r="BD25" s="13">
        <f>L25</f>
        <v>0</v>
      </c>
      <c r="BE25" s="3">
        <f>P25</f>
        <v>0</v>
      </c>
      <c r="BF25" s="3">
        <f>T25</f>
        <v>0</v>
      </c>
      <c r="BG25" s="3">
        <f>X25</f>
        <v>0</v>
      </c>
      <c r="BH25" s="3">
        <f>AB25</f>
        <v>0</v>
      </c>
      <c r="BI25" s="3">
        <f>AF25</f>
        <v>0</v>
      </c>
      <c r="BJ25" s="3">
        <f>AJ25</f>
        <v>0</v>
      </c>
      <c r="BK25" s="3">
        <f>AN25</f>
        <v>0</v>
      </c>
      <c r="BL25" s="3">
        <f>AR25</f>
        <v>0</v>
      </c>
      <c r="BM25" s="4">
        <f>AV25</f>
        <v>0</v>
      </c>
      <c r="BN25" s="4"/>
      <c r="BO25" s="13" t="s">
        <v>16</v>
      </c>
      <c r="BP25" s="4">
        <f>COUNTIF($BB$5:$BM$34,BO25)</f>
        <v>5</v>
      </c>
      <c r="BQ25" s="169">
        <f>BP25/$BS$4</f>
        <v>0.41666666666666669</v>
      </c>
      <c r="BR25" s="4">
        <v>21</v>
      </c>
      <c r="BS25" s="159" t="str">
        <f t="shared" si="1"/>
        <v/>
      </c>
      <c r="BV25" s="37" t="s">
        <v>30</v>
      </c>
      <c r="BW25" s="12">
        <f>COUNTIF($BB$45:$BM$74,BV25)</f>
        <v>10</v>
      </c>
      <c r="BX25" s="169">
        <f>BW25/$BZ$4</f>
        <v>0.83333333333333337</v>
      </c>
      <c r="BY25" s="12">
        <v>21</v>
      </c>
      <c r="BZ25" s="159" t="str">
        <f t="shared" si="2"/>
        <v>307A</v>
      </c>
      <c r="CC25" s="159" t="s">
        <v>58</v>
      </c>
      <c r="CD25" s="159">
        <f>COUNTIF($BB$80:$BM$116,CC25)</f>
        <v>11</v>
      </c>
      <c r="CE25" s="176">
        <f>CD25/$CG$4</f>
        <v>0.91666666666666663</v>
      </c>
      <c r="CF25" s="13">
        <v>14</v>
      </c>
      <c r="CG25" s="159" t="e">
        <f t="shared" si="3"/>
        <v>#N/A</v>
      </c>
      <c r="CJ25" s="159" t="s">
        <v>66</v>
      </c>
      <c r="CK25" s="159">
        <f>COUNTIF($BB$122:$BM$158,CJ25)</f>
        <v>12</v>
      </c>
      <c r="CL25" s="176">
        <f>CK25/$CG$4</f>
        <v>1</v>
      </c>
      <c r="CM25" s="13">
        <v>12</v>
      </c>
      <c r="CN25" s="14" t="e">
        <f t="shared" si="4"/>
        <v>#N/A</v>
      </c>
    </row>
    <row r="26" spans="1:92" x14ac:dyDescent="0.25">
      <c r="A26" s="43"/>
      <c r="D26" s="2"/>
      <c r="E26" s="3"/>
      <c r="F26" s="3"/>
      <c r="G26" s="4"/>
      <c r="H26" s="3"/>
      <c r="I26" s="3"/>
      <c r="J26" s="3"/>
      <c r="K26" s="3"/>
      <c r="L26" s="2"/>
      <c r="M26" s="3"/>
      <c r="N26" s="3"/>
      <c r="O26" s="4"/>
      <c r="P26" s="3"/>
      <c r="Q26" s="3"/>
      <c r="R26" s="3"/>
      <c r="S26" s="3"/>
      <c r="T26" s="2"/>
      <c r="U26" s="3"/>
      <c r="V26" s="3"/>
      <c r="W26" s="4"/>
      <c r="X26" s="16"/>
      <c r="Y26" s="16"/>
      <c r="Z26" s="16"/>
      <c r="AA26" s="16"/>
      <c r="AB26" s="10"/>
      <c r="AC26" s="16"/>
      <c r="AD26" s="16"/>
      <c r="AE26" s="17"/>
      <c r="AF26" s="16"/>
      <c r="AG26" s="16"/>
      <c r="AH26" s="16"/>
      <c r="AI26" s="16"/>
      <c r="AJ26" s="10"/>
      <c r="AK26" s="16"/>
      <c r="AL26" s="16"/>
      <c r="AM26" s="17"/>
      <c r="AN26" s="16"/>
      <c r="AO26" s="16"/>
      <c r="AP26" s="16"/>
      <c r="AQ26" s="16"/>
      <c r="AR26" s="10"/>
      <c r="AS26" s="16"/>
      <c r="AT26" s="16"/>
      <c r="AU26" s="17"/>
      <c r="AV26" s="16"/>
      <c r="AW26" s="16"/>
      <c r="AX26" s="16"/>
      <c r="AY26" s="17"/>
      <c r="BA26" s="149"/>
      <c r="BB26" s="12">
        <f>D26</f>
        <v>0</v>
      </c>
      <c r="BC26" s="13">
        <f>H26</f>
        <v>0</v>
      </c>
      <c r="BD26" s="13">
        <f>L26</f>
        <v>0</v>
      </c>
      <c r="BE26" s="3">
        <f>P26</f>
        <v>0</v>
      </c>
      <c r="BF26" s="3">
        <f>T26</f>
        <v>0</v>
      </c>
      <c r="BG26" s="3">
        <f>X26</f>
        <v>0</v>
      </c>
      <c r="BH26" s="3">
        <f>AB26</f>
        <v>0</v>
      </c>
      <c r="BI26" s="3">
        <f>AF26</f>
        <v>0</v>
      </c>
      <c r="BJ26" s="3">
        <f>AJ26</f>
        <v>0</v>
      </c>
      <c r="BK26" s="3">
        <f>AN26</f>
        <v>0</v>
      </c>
      <c r="BL26" s="3">
        <f>AR26</f>
        <v>0</v>
      </c>
      <c r="BM26" s="4">
        <f>AV26</f>
        <v>0</v>
      </c>
      <c r="BN26" s="4"/>
      <c r="BO26" s="13" t="s">
        <v>18</v>
      </c>
      <c r="BP26" s="4">
        <f>COUNTIF($BB$5:$BM$34,BO26)</f>
        <v>11</v>
      </c>
      <c r="BQ26" s="169">
        <f>BP26/$BS$4</f>
        <v>0.91666666666666663</v>
      </c>
      <c r="BR26" s="4">
        <v>22</v>
      </c>
      <c r="BS26" s="159" t="e">
        <f t="shared" si="1"/>
        <v>#N/A</v>
      </c>
      <c r="BV26" s="12" t="s">
        <v>42</v>
      </c>
      <c r="BW26" s="12">
        <f>COUNTIF($BB$45:$BM$74,BV26)</f>
        <v>4</v>
      </c>
      <c r="BX26" s="169">
        <f>BW26/$BZ$4</f>
        <v>0.33333333333333331</v>
      </c>
      <c r="BY26" s="12">
        <v>22</v>
      </c>
      <c r="BZ26" s="159" t="str">
        <f t="shared" si="2"/>
        <v/>
      </c>
      <c r="CC26" s="159" t="s">
        <v>40</v>
      </c>
      <c r="CD26" s="159">
        <f>COUNTIF($BB$80:$BM$116,CC26)</f>
        <v>7</v>
      </c>
      <c r="CE26" s="176">
        <f>CD26/$CG$4</f>
        <v>0.58333333333333337</v>
      </c>
      <c r="CF26" s="13">
        <v>7</v>
      </c>
      <c r="CG26" s="159" t="str">
        <f t="shared" si="3"/>
        <v/>
      </c>
      <c r="CJ26" s="186" t="s">
        <v>65</v>
      </c>
      <c r="CK26" s="159">
        <f>COUNTIF($BB$122:$BM$158,CJ26)</f>
        <v>10</v>
      </c>
      <c r="CL26" s="176">
        <f>CK26/$CG$4</f>
        <v>0.83333333333333337</v>
      </c>
      <c r="CM26" s="13">
        <v>24</v>
      </c>
      <c r="CN26" s="14" t="str">
        <f t="shared" si="4"/>
        <v>B7BE</v>
      </c>
    </row>
    <row r="27" spans="1:92" x14ac:dyDescent="0.25">
      <c r="A27" s="43"/>
      <c r="D27" s="2"/>
      <c r="E27" s="3"/>
      <c r="F27" s="3"/>
      <c r="G27" s="4"/>
      <c r="H27" s="3"/>
      <c r="I27" s="3"/>
      <c r="J27" s="3"/>
      <c r="K27" s="3"/>
      <c r="L27" s="2"/>
      <c r="M27" s="3"/>
      <c r="N27" s="3"/>
      <c r="O27" s="4"/>
      <c r="P27" s="3"/>
      <c r="Q27" s="3"/>
      <c r="R27" s="3"/>
      <c r="S27" s="3"/>
      <c r="T27" s="2"/>
      <c r="U27" s="3"/>
      <c r="V27" s="3"/>
      <c r="W27" s="4"/>
      <c r="X27" s="16"/>
      <c r="Y27" s="16"/>
      <c r="Z27" s="16"/>
      <c r="AA27" s="16"/>
      <c r="AB27" s="10"/>
      <c r="AC27" s="16"/>
      <c r="AD27" s="16"/>
      <c r="AE27" s="17"/>
      <c r="AF27" s="16"/>
      <c r="AG27" s="16"/>
      <c r="AH27" s="16"/>
      <c r="AI27" s="16"/>
      <c r="AJ27" s="10"/>
      <c r="AK27" s="16"/>
      <c r="AL27" s="16"/>
      <c r="AM27" s="17"/>
      <c r="AN27" s="16"/>
      <c r="AO27" s="16"/>
      <c r="AP27" s="16"/>
      <c r="AQ27" s="16"/>
      <c r="AR27" s="10"/>
      <c r="AS27" s="16"/>
      <c r="AT27" s="16"/>
      <c r="AU27" s="17"/>
      <c r="AV27" s="16"/>
      <c r="AW27" s="16"/>
      <c r="AX27" s="16"/>
      <c r="AY27" s="17"/>
      <c r="BA27" s="149"/>
      <c r="BB27" s="12">
        <f>D27</f>
        <v>0</v>
      </c>
      <c r="BC27" s="13">
        <f>H27</f>
        <v>0</v>
      </c>
      <c r="BD27" s="13">
        <f>L27</f>
        <v>0</v>
      </c>
      <c r="BE27" s="3">
        <f>P27</f>
        <v>0</v>
      </c>
      <c r="BF27" s="3">
        <f>T27</f>
        <v>0</v>
      </c>
      <c r="BG27" s="3">
        <f>X27</f>
        <v>0</v>
      </c>
      <c r="BH27" s="3">
        <f>AB27</f>
        <v>0</v>
      </c>
      <c r="BI27" s="3">
        <f>AF27</f>
        <v>0</v>
      </c>
      <c r="BJ27" s="3">
        <f>AJ27</f>
        <v>0</v>
      </c>
      <c r="BK27" s="3">
        <f>AN27</f>
        <v>0</v>
      </c>
      <c r="BL27" s="3">
        <f>AR27</f>
        <v>0</v>
      </c>
      <c r="BM27" s="4">
        <f>AV27</f>
        <v>0</v>
      </c>
      <c r="BN27" s="4"/>
      <c r="BO27" s="13" t="s">
        <v>25</v>
      </c>
      <c r="BP27" s="4">
        <f>COUNTIF($BB$5:$BM$34,BO27)</f>
        <v>8</v>
      </c>
      <c r="BQ27" s="169">
        <f>BP27/$BS$4</f>
        <v>0.66666666666666663</v>
      </c>
      <c r="BR27" s="4">
        <v>23</v>
      </c>
      <c r="BS27" s="159" t="str">
        <f t="shared" si="1"/>
        <v/>
      </c>
      <c r="BV27" s="12" t="s">
        <v>22</v>
      </c>
      <c r="BW27" s="12">
        <f>COUNTIF($BB$45:$BM$74,BV27)</f>
        <v>2</v>
      </c>
      <c r="BX27" s="169">
        <f>BW27/$BZ$4</f>
        <v>0.16666666666666666</v>
      </c>
      <c r="BY27" s="12">
        <v>23</v>
      </c>
      <c r="BZ27" s="159" t="str">
        <f t="shared" si="2"/>
        <v/>
      </c>
      <c r="CC27" s="182" t="s">
        <v>26</v>
      </c>
      <c r="CD27" s="159">
        <f>COUNTIF($BB$80:$BM$116,CC27)</f>
        <v>12</v>
      </c>
      <c r="CE27" s="176">
        <f>CD27/$CG$4</f>
        <v>1</v>
      </c>
      <c r="CF27" s="13">
        <v>4</v>
      </c>
      <c r="CG27" s="159" t="str">
        <f t="shared" si="3"/>
        <v>2FF6</v>
      </c>
      <c r="CJ27" s="97" t="s">
        <v>74</v>
      </c>
      <c r="CK27" s="159">
        <f>COUNTIF($BB$122:$BM$158,CJ27)</f>
        <v>8</v>
      </c>
      <c r="CL27" s="176">
        <f>CK27/$CG$4</f>
        <v>0.66666666666666663</v>
      </c>
      <c r="CM27" s="13">
        <v>23</v>
      </c>
      <c r="CN27" s="14" t="str">
        <f t="shared" si="4"/>
        <v/>
      </c>
    </row>
    <row r="28" spans="1:92" x14ac:dyDescent="0.25">
      <c r="A28" s="43"/>
      <c r="D28" s="2"/>
      <c r="E28" s="3"/>
      <c r="F28" s="3"/>
      <c r="G28" s="4"/>
      <c r="H28" s="3"/>
      <c r="I28" s="3"/>
      <c r="J28" s="3"/>
      <c r="K28" s="3"/>
      <c r="L28" s="2"/>
      <c r="M28" s="3"/>
      <c r="N28" s="3"/>
      <c r="O28" s="4"/>
      <c r="P28" s="3"/>
      <c r="Q28" s="3"/>
      <c r="R28" s="3"/>
      <c r="S28" s="3"/>
      <c r="T28" s="2"/>
      <c r="U28" s="3"/>
      <c r="V28" s="3"/>
      <c r="W28" s="4"/>
      <c r="X28" s="16"/>
      <c r="Y28" s="16"/>
      <c r="Z28" s="16"/>
      <c r="AA28" s="16"/>
      <c r="AB28" s="10"/>
      <c r="AC28" s="16"/>
      <c r="AD28" s="16"/>
      <c r="AE28" s="17"/>
      <c r="AF28" s="16"/>
      <c r="AG28" s="16"/>
      <c r="AH28" s="16"/>
      <c r="AI28" s="16"/>
      <c r="AJ28" s="10"/>
      <c r="AK28" s="16"/>
      <c r="AL28" s="16"/>
      <c r="AM28" s="17"/>
      <c r="AN28" s="16"/>
      <c r="AO28" s="16"/>
      <c r="AP28" s="16"/>
      <c r="AQ28" s="16"/>
      <c r="AR28" s="10"/>
      <c r="AS28" s="16"/>
      <c r="AT28" s="16"/>
      <c r="AU28" s="17"/>
      <c r="AV28" s="16"/>
      <c r="AW28" s="16"/>
      <c r="AX28" s="16"/>
      <c r="AY28" s="17"/>
      <c r="BA28" s="149"/>
      <c r="BB28" s="12">
        <f>D28</f>
        <v>0</v>
      </c>
      <c r="BC28" s="13">
        <f>H28</f>
        <v>0</v>
      </c>
      <c r="BD28" s="13">
        <f>L28</f>
        <v>0</v>
      </c>
      <c r="BE28" s="3">
        <f>P28</f>
        <v>0</v>
      </c>
      <c r="BF28" s="3">
        <f>T28</f>
        <v>0</v>
      </c>
      <c r="BG28" s="3">
        <f>X28</f>
        <v>0</v>
      </c>
      <c r="BH28" s="3">
        <f>AB28</f>
        <v>0</v>
      </c>
      <c r="BI28" s="3">
        <f>AF28</f>
        <v>0</v>
      </c>
      <c r="BJ28" s="3">
        <f>AJ28</f>
        <v>0</v>
      </c>
      <c r="BK28" s="3">
        <f>AN28</f>
        <v>0</v>
      </c>
      <c r="BL28" s="3">
        <f>AR28</f>
        <v>0</v>
      </c>
      <c r="BM28" s="4">
        <f>AV28</f>
        <v>0</v>
      </c>
      <c r="BN28" s="4"/>
      <c r="BO28" s="13" t="s">
        <v>19</v>
      </c>
      <c r="BP28" s="4">
        <f>COUNTIF($BB$5:$BM$34,BO28)</f>
        <v>12</v>
      </c>
      <c r="BQ28" s="169">
        <f>BP28/$BS$4</f>
        <v>1</v>
      </c>
      <c r="BR28" s="4">
        <v>24</v>
      </c>
      <c r="BS28" s="159" t="e">
        <f t="shared" si="1"/>
        <v>#N/A</v>
      </c>
      <c r="BV28" s="12" t="s">
        <v>44</v>
      </c>
      <c r="BW28" s="12">
        <f>COUNTIF($BB$45:$BM$74,BV28)</f>
        <v>4</v>
      </c>
      <c r="BX28" s="169">
        <f>BW28/$BZ$4</f>
        <v>0.33333333333333331</v>
      </c>
      <c r="BY28" s="12">
        <v>24</v>
      </c>
      <c r="BZ28" s="159" t="str">
        <f t="shared" si="2"/>
        <v/>
      </c>
      <c r="CC28" s="185" t="s">
        <v>30</v>
      </c>
      <c r="CD28" s="159">
        <f>COUNTIF($BB$80:$BM$116,CC28)</f>
        <v>10</v>
      </c>
      <c r="CE28" s="176">
        <f>CD28/$CG$4</f>
        <v>0.83333333333333337</v>
      </c>
      <c r="CF28" s="13">
        <v>10</v>
      </c>
      <c r="CG28" s="159" t="str">
        <f t="shared" si="3"/>
        <v>307A</v>
      </c>
      <c r="CJ28" s="191" t="s">
        <v>69</v>
      </c>
      <c r="CK28" s="159">
        <f>COUNTIF($BB$122:$BM$158,CJ28)</f>
        <v>4</v>
      </c>
      <c r="CL28" s="176">
        <f>CK28/$CG$4</f>
        <v>0.33333333333333331</v>
      </c>
      <c r="CM28" s="13">
        <v>15</v>
      </c>
      <c r="CN28" s="14" t="str">
        <f t="shared" si="4"/>
        <v/>
      </c>
    </row>
    <row r="29" spans="1:92" x14ac:dyDescent="0.25">
      <c r="A29" s="43"/>
      <c r="D29" s="2"/>
      <c r="E29" s="3"/>
      <c r="F29" s="3"/>
      <c r="G29" s="4"/>
      <c r="H29" s="3"/>
      <c r="I29" s="3"/>
      <c r="J29" s="3"/>
      <c r="K29" s="3"/>
      <c r="L29" s="2"/>
      <c r="M29" s="3"/>
      <c r="N29" s="3"/>
      <c r="O29" s="4"/>
      <c r="P29" s="3"/>
      <c r="Q29" s="3"/>
      <c r="R29" s="3"/>
      <c r="S29" s="3"/>
      <c r="T29" s="2"/>
      <c r="U29" s="3"/>
      <c r="V29" s="3"/>
      <c r="W29" s="4"/>
      <c r="X29" s="16"/>
      <c r="Y29" s="16"/>
      <c r="Z29" s="16"/>
      <c r="AA29" s="16"/>
      <c r="AB29" s="10"/>
      <c r="AC29" s="16"/>
      <c r="AD29" s="16"/>
      <c r="AE29" s="17"/>
      <c r="AF29" s="16"/>
      <c r="AG29" s="16"/>
      <c r="AH29" s="16"/>
      <c r="AI29" s="16"/>
      <c r="AJ29" s="10"/>
      <c r="AK29" s="16"/>
      <c r="AL29" s="16"/>
      <c r="AM29" s="17"/>
      <c r="AN29" s="16"/>
      <c r="AO29" s="16"/>
      <c r="AP29" s="16"/>
      <c r="AQ29" s="16"/>
      <c r="AR29" s="10"/>
      <c r="AS29" s="16"/>
      <c r="AT29" s="16"/>
      <c r="AU29" s="17"/>
      <c r="AV29" s="16"/>
      <c r="AW29" s="16"/>
      <c r="AX29" s="16"/>
      <c r="AY29" s="17"/>
      <c r="BA29" s="149"/>
      <c r="BB29" s="12">
        <f>D29</f>
        <v>0</v>
      </c>
      <c r="BC29" s="13">
        <f>H29</f>
        <v>0</v>
      </c>
      <c r="BD29" s="13">
        <f>L29</f>
        <v>0</v>
      </c>
      <c r="BE29" s="3">
        <f>P29</f>
        <v>0</v>
      </c>
      <c r="BF29" s="3">
        <f>T29</f>
        <v>0</v>
      </c>
      <c r="BG29" s="3">
        <f>X29</f>
        <v>0</v>
      </c>
      <c r="BH29" s="3">
        <f>AB29</f>
        <v>0</v>
      </c>
      <c r="BI29" s="3">
        <f>AF29</f>
        <v>0</v>
      </c>
      <c r="BJ29" s="3">
        <f>AJ29</f>
        <v>0</v>
      </c>
      <c r="BK29" s="3">
        <f>AN29</f>
        <v>0</v>
      </c>
      <c r="BL29" s="3">
        <f>AR29</f>
        <v>0</v>
      </c>
      <c r="BM29" s="4">
        <f>AV29</f>
        <v>0</v>
      </c>
      <c r="BN29" s="4"/>
      <c r="BO29" s="13" t="s">
        <v>38</v>
      </c>
      <c r="BP29" s="4">
        <f>COUNTIF($BB$5:$BM$34,BO29)</f>
        <v>2</v>
      </c>
      <c r="BQ29" s="169">
        <f>BP29/$BS$4</f>
        <v>0.16666666666666666</v>
      </c>
      <c r="BR29" s="4">
        <v>25</v>
      </c>
      <c r="BS29" s="159" t="str">
        <f t="shared" si="1"/>
        <v/>
      </c>
      <c r="BV29" s="12" t="s">
        <v>57</v>
      </c>
      <c r="BW29" s="12">
        <f>COUNTIF($BB$45:$BM$74,BV29)</f>
        <v>2</v>
      </c>
      <c r="BX29" s="169">
        <f>BW29/$BZ$4</f>
        <v>0.16666666666666666</v>
      </c>
      <c r="BY29" s="12">
        <v>25</v>
      </c>
      <c r="BZ29" s="159" t="str">
        <f t="shared" si="2"/>
        <v/>
      </c>
      <c r="CC29" s="97" t="s">
        <v>57</v>
      </c>
      <c r="CD29" s="159">
        <f>COUNTIF($BB$80:$BM$116,CC29)</f>
        <v>5</v>
      </c>
      <c r="CE29" s="176">
        <f>CD29/$CG$4</f>
        <v>0.41666666666666669</v>
      </c>
      <c r="CF29" s="13">
        <v>26</v>
      </c>
      <c r="CG29" s="159" t="str">
        <f t="shared" si="3"/>
        <v/>
      </c>
      <c r="CJ29" s="189" t="s">
        <v>76</v>
      </c>
      <c r="CK29" s="159">
        <f>COUNTIF($BB$122:$BM$158,CJ29)</f>
        <v>6</v>
      </c>
      <c r="CL29" s="176">
        <f>CK29/$CG$4</f>
        <v>0.5</v>
      </c>
      <c r="CM29" s="13">
        <v>28</v>
      </c>
      <c r="CN29" s="14" t="str">
        <f t="shared" si="4"/>
        <v/>
      </c>
    </row>
    <row r="30" spans="1:92" x14ac:dyDescent="0.25">
      <c r="A30" s="43"/>
      <c r="D30" s="2"/>
      <c r="E30" s="3"/>
      <c r="F30" s="3"/>
      <c r="G30" s="4"/>
      <c r="H30" s="3"/>
      <c r="I30" s="3"/>
      <c r="J30" s="3"/>
      <c r="K30" s="3"/>
      <c r="L30" s="2"/>
      <c r="M30" s="3"/>
      <c r="N30" s="3"/>
      <c r="O30" s="4"/>
      <c r="P30" s="3"/>
      <c r="Q30" s="3"/>
      <c r="R30" s="3"/>
      <c r="S30" s="3"/>
      <c r="T30" s="2"/>
      <c r="U30" s="3"/>
      <c r="V30" s="3"/>
      <c r="W30" s="4"/>
      <c r="X30" s="16"/>
      <c r="Y30" s="16"/>
      <c r="Z30" s="16"/>
      <c r="AA30" s="16"/>
      <c r="AB30" s="10"/>
      <c r="AC30" s="16"/>
      <c r="AD30" s="16"/>
      <c r="AE30" s="17"/>
      <c r="AF30" s="16"/>
      <c r="AG30" s="16"/>
      <c r="AH30" s="16"/>
      <c r="AI30" s="16"/>
      <c r="AJ30" s="10"/>
      <c r="AK30" s="16"/>
      <c r="AL30" s="16"/>
      <c r="AM30" s="17"/>
      <c r="AN30" s="16"/>
      <c r="AO30" s="16"/>
      <c r="AP30" s="16"/>
      <c r="AQ30" s="16"/>
      <c r="AR30" s="10"/>
      <c r="AS30" s="16"/>
      <c r="AT30" s="16"/>
      <c r="AU30" s="17"/>
      <c r="AV30" s="16"/>
      <c r="AW30" s="16"/>
      <c r="AX30" s="16"/>
      <c r="AY30" s="17"/>
      <c r="BA30" s="149"/>
      <c r="BB30" s="12">
        <f>D30</f>
        <v>0</v>
      </c>
      <c r="BC30" s="13">
        <f>H30</f>
        <v>0</v>
      </c>
      <c r="BD30" s="13">
        <f>L30</f>
        <v>0</v>
      </c>
      <c r="BE30" s="3">
        <f>P30</f>
        <v>0</v>
      </c>
      <c r="BF30" s="3">
        <f>T30</f>
        <v>0</v>
      </c>
      <c r="BG30" s="3">
        <f>X30</f>
        <v>0</v>
      </c>
      <c r="BH30" s="3">
        <f>AB30</f>
        <v>0</v>
      </c>
      <c r="BI30" s="3">
        <f>AF30</f>
        <v>0</v>
      </c>
      <c r="BJ30" s="3">
        <f>AJ30</f>
        <v>0</v>
      </c>
      <c r="BK30" s="3">
        <f>AN30</f>
        <v>0</v>
      </c>
      <c r="BL30" s="3">
        <f>AR30</f>
        <v>0</v>
      </c>
      <c r="BM30" s="4">
        <f>AV30</f>
        <v>0</v>
      </c>
      <c r="BN30" s="4"/>
      <c r="BO30" s="13" t="s">
        <v>20</v>
      </c>
      <c r="BP30" s="4">
        <f>COUNTIF($BB$5:$BM$34,BO30)</f>
        <v>4</v>
      </c>
      <c r="BQ30" s="169">
        <f>BP30/$BS$4</f>
        <v>0.33333333333333331</v>
      </c>
      <c r="BR30" s="4">
        <v>26</v>
      </c>
      <c r="BS30" s="159" t="str">
        <f t="shared" si="1"/>
        <v/>
      </c>
      <c r="BV30" s="12" t="s">
        <v>60</v>
      </c>
      <c r="BW30" s="12">
        <f>COUNTIF($BB$45:$BM$74,BV30)</f>
        <v>2</v>
      </c>
      <c r="BX30" s="169">
        <f>BW30/$BZ$4</f>
        <v>0.16666666666666666</v>
      </c>
      <c r="BY30" s="12">
        <v>26</v>
      </c>
      <c r="BZ30" s="159" t="str">
        <f t="shared" si="2"/>
        <v/>
      </c>
      <c r="CC30" s="159" t="s">
        <v>60</v>
      </c>
      <c r="CD30" s="159">
        <f>COUNTIF($BB$80:$BM$116,CC30)</f>
        <v>11</v>
      </c>
      <c r="CE30" s="176">
        <f>CD30/$CG$4</f>
        <v>0.91666666666666663</v>
      </c>
      <c r="CF30" s="13">
        <v>17</v>
      </c>
      <c r="CG30" s="159" t="e">
        <f t="shared" si="3"/>
        <v>#N/A</v>
      </c>
      <c r="CJ30" s="188" t="s">
        <v>75</v>
      </c>
      <c r="CK30" s="159">
        <f>COUNTIF($BB$122:$BM$158,CJ30)</f>
        <v>8</v>
      </c>
      <c r="CL30" s="176">
        <f>CK30/$CG$4</f>
        <v>0.66666666666666663</v>
      </c>
      <c r="CM30" s="13">
        <v>25</v>
      </c>
      <c r="CN30" s="14" t="str">
        <f t="shared" si="4"/>
        <v/>
      </c>
    </row>
    <row r="31" spans="1:92" x14ac:dyDescent="0.25">
      <c r="A31" s="43"/>
      <c r="D31" s="2"/>
      <c r="E31" s="3"/>
      <c r="F31" s="3"/>
      <c r="G31" s="4"/>
      <c r="H31" s="3"/>
      <c r="I31" s="3"/>
      <c r="J31" s="3"/>
      <c r="K31" s="3"/>
      <c r="L31" s="2"/>
      <c r="M31" s="3"/>
      <c r="N31" s="3"/>
      <c r="O31" s="4"/>
      <c r="P31" s="3"/>
      <c r="Q31" s="3"/>
      <c r="R31" s="3"/>
      <c r="S31" s="3"/>
      <c r="T31" s="2"/>
      <c r="U31" s="3"/>
      <c r="V31" s="3"/>
      <c r="W31" s="4"/>
      <c r="X31" s="16"/>
      <c r="Y31" s="16"/>
      <c r="Z31" s="16"/>
      <c r="AA31" s="16"/>
      <c r="AB31" s="10"/>
      <c r="AC31" s="16"/>
      <c r="AD31" s="16"/>
      <c r="AE31" s="17"/>
      <c r="AF31" s="16"/>
      <c r="AG31" s="16"/>
      <c r="AH31" s="16"/>
      <c r="AI31" s="16"/>
      <c r="AJ31" s="10"/>
      <c r="AK31" s="16"/>
      <c r="AL31" s="16"/>
      <c r="AM31" s="17"/>
      <c r="AN31" s="16"/>
      <c r="AO31" s="16"/>
      <c r="AP31" s="16"/>
      <c r="AQ31" s="16"/>
      <c r="AR31" s="10"/>
      <c r="AS31" s="16"/>
      <c r="AT31" s="16"/>
      <c r="AU31" s="17"/>
      <c r="AV31" s="16"/>
      <c r="AW31" s="16"/>
      <c r="AX31" s="16"/>
      <c r="AY31" s="17"/>
      <c r="BA31" s="149"/>
      <c r="BB31" s="12">
        <f>D31</f>
        <v>0</v>
      </c>
      <c r="BC31" s="13">
        <f>H31</f>
        <v>0</v>
      </c>
      <c r="BD31" s="13">
        <f>L31</f>
        <v>0</v>
      </c>
      <c r="BE31" s="3">
        <f>P31</f>
        <v>0</v>
      </c>
      <c r="BF31" s="3">
        <f>T31</f>
        <v>0</v>
      </c>
      <c r="BG31" s="3">
        <f>X31</f>
        <v>0</v>
      </c>
      <c r="BH31" s="3">
        <f>AB31</f>
        <v>0</v>
      </c>
      <c r="BI31" s="3">
        <f>AF31</f>
        <v>0</v>
      </c>
      <c r="BJ31" s="3">
        <f>AJ31</f>
        <v>0</v>
      </c>
      <c r="BK31" s="3">
        <f>AN31</f>
        <v>0</v>
      </c>
      <c r="BL31" s="3">
        <f>AR31</f>
        <v>0</v>
      </c>
      <c r="BM31" s="4">
        <f>AV31</f>
        <v>0</v>
      </c>
      <c r="BN31" s="4"/>
      <c r="BO31" s="13" t="s">
        <v>39</v>
      </c>
      <c r="BP31" s="4">
        <f>COUNTIF($BB$5:$BM$34,BO31)</f>
        <v>5</v>
      </c>
      <c r="BQ31" s="169">
        <f>BP31/$BS$4</f>
        <v>0.41666666666666669</v>
      </c>
      <c r="BR31" s="4">
        <v>27</v>
      </c>
      <c r="BS31" s="159" t="str">
        <f t="shared" si="1"/>
        <v/>
      </c>
      <c r="BV31" s="12" t="s">
        <v>56</v>
      </c>
      <c r="BW31" s="12">
        <f>COUNTIF($BB$45:$BM$74,BV31)</f>
        <v>2</v>
      </c>
      <c r="BX31" s="169">
        <f>BW31/$BZ$4</f>
        <v>0.16666666666666666</v>
      </c>
      <c r="BY31" s="12">
        <v>27</v>
      </c>
      <c r="BZ31" s="159" t="str">
        <f t="shared" si="2"/>
        <v/>
      </c>
      <c r="CC31" s="159" t="s">
        <v>56</v>
      </c>
      <c r="CD31" s="159">
        <f>COUNTIF($BB$80:$BM$116,CC31)</f>
        <v>2</v>
      </c>
      <c r="CE31" s="176">
        <f>CD31/$CG$4</f>
        <v>0.16666666666666666</v>
      </c>
      <c r="CF31" s="13">
        <v>13</v>
      </c>
      <c r="CG31" s="159" t="str">
        <f t="shared" si="3"/>
        <v/>
      </c>
      <c r="CJ31" s="159" t="s">
        <v>71</v>
      </c>
      <c r="CK31" s="159">
        <f>COUNTIF($BB$122:$BM$158,CJ31)</f>
        <v>8</v>
      </c>
      <c r="CL31" s="176">
        <f>CK31/$CG$4</f>
        <v>0.66666666666666663</v>
      </c>
      <c r="CM31" s="13">
        <v>17</v>
      </c>
      <c r="CN31" s="14" t="str">
        <f t="shared" si="4"/>
        <v/>
      </c>
    </row>
    <row r="32" spans="1:92" x14ac:dyDescent="0.25">
      <c r="A32" s="43"/>
      <c r="D32" s="2"/>
      <c r="E32" s="3"/>
      <c r="F32" s="3"/>
      <c r="G32" s="4"/>
      <c r="H32" s="3"/>
      <c r="I32" s="3"/>
      <c r="J32" s="3"/>
      <c r="K32" s="3"/>
      <c r="L32" s="2"/>
      <c r="M32" s="3"/>
      <c r="N32" s="3"/>
      <c r="O32" s="4"/>
      <c r="P32" s="3"/>
      <c r="Q32" s="3"/>
      <c r="R32" s="3"/>
      <c r="S32" s="3"/>
      <c r="T32" s="2"/>
      <c r="U32" s="3"/>
      <c r="V32" s="3"/>
      <c r="W32" s="4"/>
      <c r="X32" s="16"/>
      <c r="Y32" s="16"/>
      <c r="Z32" s="16"/>
      <c r="AA32" s="16"/>
      <c r="AB32" s="10"/>
      <c r="AC32" s="16"/>
      <c r="AD32" s="16"/>
      <c r="AE32" s="17"/>
      <c r="AF32" s="16"/>
      <c r="AG32" s="16"/>
      <c r="AH32" s="16"/>
      <c r="AI32" s="16"/>
      <c r="AJ32" s="10"/>
      <c r="AK32" s="16"/>
      <c r="AL32" s="16"/>
      <c r="AM32" s="17"/>
      <c r="AN32" s="16"/>
      <c r="AO32" s="16"/>
      <c r="AP32" s="16"/>
      <c r="AQ32" s="16"/>
      <c r="AR32" s="10"/>
      <c r="AS32" s="16"/>
      <c r="AT32" s="16"/>
      <c r="AU32" s="17"/>
      <c r="AV32" s="16"/>
      <c r="AW32" s="16"/>
      <c r="AX32" s="16"/>
      <c r="AY32" s="17"/>
      <c r="BA32" s="149"/>
      <c r="BB32" s="12">
        <f>D32</f>
        <v>0</v>
      </c>
      <c r="BC32" s="13">
        <f>H32</f>
        <v>0</v>
      </c>
      <c r="BD32" s="13">
        <f>L32</f>
        <v>0</v>
      </c>
      <c r="BE32" s="3">
        <f>P32</f>
        <v>0</v>
      </c>
      <c r="BF32" s="3">
        <f>T32</f>
        <v>0</v>
      </c>
      <c r="BG32" s="3">
        <f>X32</f>
        <v>0</v>
      </c>
      <c r="BH32" s="3">
        <f>AB32</f>
        <v>0</v>
      </c>
      <c r="BI32" s="3">
        <f>AF32</f>
        <v>0</v>
      </c>
      <c r="BJ32" s="3">
        <f>AJ32</f>
        <v>0</v>
      </c>
      <c r="BK32" s="3">
        <f>AN32</f>
        <v>0</v>
      </c>
      <c r="BL32" s="3">
        <f>AR32</f>
        <v>0</v>
      </c>
      <c r="BM32" s="4">
        <f>AV32</f>
        <v>0</v>
      </c>
      <c r="BN32" s="4"/>
      <c r="BO32" s="145" t="s">
        <v>29</v>
      </c>
      <c r="BP32" s="4">
        <f>COUNTIF($BB$5:$BM$34,BO32)</f>
        <v>5</v>
      </c>
      <c r="BQ32" s="169">
        <f>BP32/$BS$4</f>
        <v>0.41666666666666669</v>
      </c>
      <c r="BR32" s="4">
        <v>28</v>
      </c>
      <c r="BS32" s="159" t="str">
        <f t="shared" si="1"/>
        <v/>
      </c>
      <c r="BV32" s="12" t="s">
        <v>55</v>
      </c>
      <c r="BW32" s="12">
        <f>COUNTIF($BB$45:$BM$74,BV32)</f>
        <v>2</v>
      </c>
      <c r="BX32" s="169">
        <f>BW32/$BZ$4</f>
        <v>0.16666666666666666</v>
      </c>
      <c r="BY32" s="12">
        <v>28</v>
      </c>
      <c r="BZ32" s="159" t="str">
        <f t="shared" si="2"/>
        <v/>
      </c>
      <c r="CC32" s="159" t="s">
        <v>55</v>
      </c>
      <c r="CD32" s="159">
        <f>COUNTIF($BB$80:$BM$116,CC32)</f>
        <v>12</v>
      </c>
      <c r="CE32" s="176">
        <f>CD32/$CG$4</f>
        <v>1</v>
      </c>
      <c r="CF32" s="13">
        <v>12</v>
      </c>
      <c r="CG32" s="159" t="e">
        <f t="shared" si="3"/>
        <v>#N/A</v>
      </c>
      <c r="CJ32" s="159" t="s">
        <v>78</v>
      </c>
      <c r="CK32" s="159">
        <f>COUNTIF($BB$122:$BM$158,CJ32)</f>
        <v>10</v>
      </c>
      <c r="CL32" s="176">
        <f>CK32/$CG$4</f>
        <v>0.83333333333333337</v>
      </c>
      <c r="CM32" s="13">
        <v>13</v>
      </c>
      <c r="CN32" s="14" t="e">
        <f t="shared" si="4"/>
        <v>#N/A</v>
      </c>
    </row>
    <row r="33" spans="1:92" x14ac:dyDescent="0.25">
      <c r="A33" s="43"/>
      <c r="D33" s="2"/>
      <c r="E33" s="3"/>
      <c r="F33" s="3"/>
      <c r="G33" s="4"/>
      <c r="H33" s="3"/>
      <c r="I33" s="3"/>
      <c r="J33" s="3"/>
      <c r="K33" s="3"/>
      <c r="L33" s="2"/>
      <c r="M33" s="3"/>
      <c r="N33" s="3"/>
      <c r="O33" s="4"/>
      <c r="P33" s="3"/>
      <c r="Q33" s="3"/>
      <c r="R33" s="3"/>
      <c r="S33" s="3"/>
      <c r="T33" s="2"/>
      <c r="U33" s="3"/>
      <c r="V33" s="3"/>
      <c r="W33" s="4"/>
      <c r="X33" s="16"/>
      <c r="Y33" s="16"/>
      <c r="Z33" s="16"/>
      <c r="AA33" s="16"/>
      <c r="AB33" s="10"/>
      <c r="AC33" s="16"/>
      <c r="AD33" s="16"/>
      <c r="AE33" s="17"/>
      <c r="AF33" s="16"/>
      <c r="AG33" s="16"/>
      <c r="AH33" s="16"/>
      <c r="AI33" s="16"/>
      <c r="AJ33" s="10"/>
      <c r="AK33" s="16"/>
      <c r="AL33" s="16"/>
      <c r="AM33" s="17"/>
      <c r="AN33" s="16"/>
      <c r="AO33" s="16"/>
      <c r="AP33" s="16"/>
      <c r="AQ33" s="16"/>
      <c r="AR33" s="10"/>
      <c r="AS33" s="16"/>
      <c r="AT33" s="16"/>
      <c r="AU33" s="17"/>
      <c r="AV33" s="16"/>
      <c r="AW33" s="16"/>
      <c r="AX33" s="16"/>
      <c r="AY33" s="17"/>
      <c r="BA33" s="149"/>
      <c r="BB33" s="12">
        <f>D33</f>
        <v>0</v>
      </c>
      <c r="BC33" s="13">
        <f>H33</f>
        <v>0</v>
      </c>
      <c r="BD33" s="13">
        <f>L33</f>
        <v>0</v>
      </c>
      <c r="BE33" s="3">
        <f>P33</f>
        <v>0</v>
      </c>
      <c r="BF33" s="3">
        <f>T33</f>
        <v>0</v>
      </c>
      <c r="BG33" s="3">
        <f>X33</f>
        <v>0</v>
      </c>
      <c r="BH33" s="3">
        <f>AB33</f>
        <v>0</v>
      </c>
      <c r="BI33" s="3">
        <f>AF33</f>
        <v>0</v>
      </c>
      <c r="BJ33" s="3">
        <f>AJ33</f>
        <v>0</v>
      </c>
      <c r="BK33" s="3">
        <f>AN33</f>
        <v>0</v>
      </c>
      <c r="BL33" s="3">
        <f>AR33</f>
        <v>0</v>
      </c>
      <c r="BM33" s="4">
        <f>AV33</f>
        <v>0</v>
      </c>
      <c r="BN33" s="4"/>
      <c r="BO33" s="13" t="s">
        <v>33</v>
      </c>
      <c r="BP33" s="4">
        <f>COUNTIF($BB$5:$BM$34,BO33)</f>
        <v>7</v>
      </c>
      <c r="BQ33" s="169">
        <f>BP33/$BS$4</f>
        <v>0.58333333333333337</v>
      </c>
      <c r="BR33" s="4">
        <v>29</v>
      </c>
      <c r="BS33" s="159" t="str">
        <f t="shared" si="1"/>
        <v/>
      </c>
      <c r="BV33" s="12" t="s">
        <v>54</v>
      </c>
      <c r="BW33" s="12">
        <f>COUNTIF($BB$45:$BM$74,BV33)</f>
        <v>2</v>
      </c>
      <c r="BX33" s="169">
        <f>BW33/$BZ$4</f>
        <v>0.16666666666666666</v>
      </c>
      <c r="BY33" s="12">
        <v>29</v>
      </c>
      <c r="BZ33" s="159" t="str">
        <f t="shared" si="2"/>
        <v/>
      </c>
      <c r="CC33" s="159" t="s">
        <v>54</v>
      </c>
      <c r="CD33" s="159">
        <f>COUNTIF($BB$80:$BM$116,CC33)</f>
        <v>5</v>
      </c>
      <c r="CE33" s="176">
        <f>CD33/$CG$4</f>
        <v>0.41666666666666669</v>
      </c>
      <c r="CF33" s="13">
        <v>11</v>
      </c>
      <c r="CG33" s="159" t="str">
        <f t="shared" si="3"/>
        <v/>
      </c>
      <c r="CJ33" s="181" t="s">
        <v>29</v>
      </c>
      <c r="CK33" s="159">
        <f>COUNTIF($BB$122:$BM$158,CJ33)</f>
        <v>12</v>
      </c>
      <c r="CL33" s="176">
        <f>CK33/$CG$4</f>
        <v>1</v>
      </c>
      <c r="CM33" s="13">
        <v>5</v>
      </c>
      <c r="CN33" s="14" t="str">
        <f t="shared" si="4"/>
        <v>F1AE</v>
      </c>
    </row>
    <row r="34" spans="1:92" x14ac:dyDescent="0.25">
      <c r="A34" s="43"/>
      <c r="D34" s="5"/>
      <c r="E34" s="6"/>
      <c r="F34" s="6"/>
      <c r="G34" s="7"/>
      <c r="H34" s="6"/>
      <c r="I34" s="6"/>
      <c r="J34" s="6"/>
      <c r="K34" s="6"/>
      <c r="L34" s="5"/>
      <c r="M34" s="6"/>
      <c r="N34" s="6"/>
      <c r="O34" s="7"/>
      <c r="P34" s="6"/>
      <c r="Q34" s="6"/>
      <c r="R34" s="6"/>
      <c r="S34" s="6"/>
      <c r="T34" s="5"/>
      <c r="U34" s="6"/>
      <c r="V34" s="6"/>
      <c r="W34" s="7"/>
      <c r="X34" s="19"/>
      <c r="Y34" s="19"/>
      <c r="Z34" s="19"/>
      <c r="AA34" s="19"/>
      <c r="AB34" s="18"/>
      <c r="AC34" s="19"/>
      <c r="AD34" s="19"/>
      <c r="AE34" s="20"/>
      <c r="AF34" s="19"/>
      <c r="AG34" s="19"/>
      <c r="AH34" s="19"/>
      <c r="AI34" s="19"/>
      <c r="AJ34" s="18"/>
      <c r="AK34" s="19"/>
      <c r="AL34" s="19"/>
      <c r="AM34" s="20"/>
      <c r="AN34" s="19"/>
      <c r="AO34" s="19"/>
      <c r="AP34" s="19"/>
      <c r="AQ34" s="19"/>
      <c r="AR34" s="18"/>
      <c r="AS34" s="19"/>
      <c r="AT34" s="19"/>
      <c r="AU34" s="20"/>
      <c r="AV34" s="19"/>
      <c r="AW34" s="19"/>
      <c r="AX34" s="19"/>
      <c r="AY34" s="20"/>
      <c r="BA34" s="149"/>
      <c r="BB34" s="151">
        <f>D34</f>
        <v>0</v>
      </c>
      <c r="BC34" s="152">
        <f>H34</f>
        <v>0</v>
      </c>
      <c r="BD34" s="152">
        <f>L34</f>
        <v>0</v>
      </c>
      <c r="BE34" s="6">
        <f>P34</f>
        <v>0</v>
      </c>
      <c r="BF34" s="6">
        <f>T34</f>
        <v>0</v>
      </c>
      <c r="BG34" s="6">
        <f>X34</f>
        <v>0</v>
      </c>
      <c r="BH34" s="6">
        <f>AB34</f>
        <v>0</v>
      </c>
      <c r="BI34" s="6">
        <f>AF34</f>
        <v>0</v>
      </c>
      <c r="BJ34" s="6">
        <f>AJ34</f>
        <v>0</v>
      </c>
      <c r="BK34" s="6">
        <f>AN34</f>
        <v>0</v>
      </c>
      <c r="BL34" s="6">
        <f>AR34</f>
        <v>0</v>
      </c>
      <c r="BM34" s="7">
        <f>AV34</f>
        <v>0</v>
      </c>
      <c r="BN34" s="4"/>
      <c r="BO34" s="19"/>
      <c r="BP34" s="7"/>
      <c r="BQ34" s="20"/>
      <c r="BR34" s="20"/>
      <c r="BS34" s="160" t="str">
        <f t="shared" si="1"/>
        <v/>
      </c>
      <c r="BV34" s="12" t="s">
        <v>49</v>
      </c>
      <c r="BW34" s="12">
        <f>COUNTIF($BB$45:$BM$74,BV34)</f>
        <v>10</v>
      </c>
      <c r="BX34" s="169">
        <f>BW34/$BZ$4</f>
        <v>0.83333333333333337</v>
      </c>
      <c r="BY34" s="12">
        <v>30</v>
      </c>
      <c r="BZ34" s="159" t="e">
        <f t="shared" si="2"/>
        <v>#N/A</v>
      </c>
      <c r="CC34" s="159" t="s">
        <v>18</v>
      </c>
      <c r="CD34" s="159">
        <f>COUNTIF($BB$80:$BM$116,CC34)</f>
        <v>5</v>
      </c>
      <c r="CE34" s="176">
        <f>CD34/$CG$4</f>
        <v>0.41666666666666669</v>
      </c>
      <c r="CF34" s="13">
        <v>1</v>
      </c>
      <c r="CG34" s="159" t="str">
        <f t="shared" si="3"/>
        <v/>
      </c>
      <c r="CJ34" s="98" t="s">
        <v>46</v>
      </c>
      <c r="CK34" s="160">
        <f>COUNTIF($BB$122:$BM$158,CJ34)</f>
        <v>9</v>
      </c>
      <c r="CL34" s="177">
        <f>CK34/$CG$4</f>
        <v>0.75</v>
      </c>
      <c r="CM34" s="152">
        <v>21</v>
      </c>
      <c r="CN34" s="172" t="e">
        <f t="shared" si="4"/>
        <v>#N/A</v>
      </c>
    </row>
    <row r="35" spans="1:92" x14ac:dyDescent="0.25">
      <c r="A35" s="4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BB35" s="43"/>
      <c r="BN35" s="16"/>
      <c r="BO35" s="174"/>
      <c r="BV35" s="12" t="s">
        <v>25</v>
      </c>
      <c r="BW35" s="12">
        <f>COUNTIF($BB$45:$BM$74,BV35)</f>
        <v>2</v>
      </c>
      <c r="BX35" s="169">
        <f>BW35/$BZ$4</f>
        <v>0.16666666666666666</v>
      </c>
      <c r="BY35" s="12">
        <v>31</v>
      </c>
      <c r="BZ35" s="159" t="str">
        <f t="shared" si="2"/>
        <v/>
      </c>
      <c r="CC35" s="159" t="s">
        <v>49</v>
      </c>
      <c r="CD35" s="159">
        <f>COUNTIF($BB$80:$BM$116,CC35)</f>
        <v>8</v>
      </c>
      <c r="CE35" s="176">
        <f>CD35/$CG$4</f>
        <v>0.66666666666666663</v>
      </c>
      <c r="CF35" s="13">
        <v>8</v>
      </c>
      <c r="CG35" s="159" t="str">
        <f t="shared" si="3"/>
        <v/>
      </c>
    </row>
    <row r="36" spans="1:92" x14ac:dyDescent="0.25">
      <c r="A36" s="4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BB36" s="43"/>
      <c r="BV36" s="12" t="s">
        <v>19</v>
      </c>
      <c r="BW36" s="12">
        <f>COUNTIF($BB$45:$BM$74,BV36)</f>
        <v>7</v>
      </c>
      <c r="BX36" s="169">
        <f>BW36/$BZ$4</f>
        <v>0.58333333333333337</v>
      </c>
      <c r="BY36" s="12">
        <v>32</v>
      </c>
      <c r="BZ36" s="159" t="str">
        <f t="shared" si="2"/>
        <v/>
      </c>
      <c r="CC36" s="159" t="s">
        <v>19</v>
      </c>
      <c r="CD36" s="159">
        <f>COUNTIF($BB$80:$BM$116,CC36)</f>
        <v>11</v>
      </c>
      <c r="CE36" s="176">
        <f>CD36/$CG$4</f>
        <v>0.91666666666666663</v>
      </c>
      <c r="CF36" s="13">
        <v>2</v>
      </c>
      <c r="CG36" s="159" t="e">
        <f t="shared" si="3"/>
        <v>#N/A</v>
      </c>
    </row>
    <row r="37" spans="1:92" x14ac:dyDescent="0.25">
      <c r="A37" s="4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BB37" s="43"/>
      <c r="BV37" s="12" t="s">
        <v>62</v>
      </c>
      <c r="BW37" s="12">
        <f>COUNTIF($BB$45:$BM$74,BV37)</f>
        <v>1</v>
      </c>
      <c r="BX37" s="169">
        <f>BW37/$BZ$4</f>
        <v>8.3333333333333329E-2</v>
      </c>
      <c r="BY37" s="12">
        <v>33</v>
      </c>
      <c r="BZ37" s="159" t="str">
        <f t="shared" si="2"/>
        <v/>
      </c>
      <c r="CC37" s="97" t="s">
        <v>64</v>
      </c>
      <c r="CD37" s="159">
        <f>COUNTIF($BB$80:$BM$116,CC37)</f>
        <v>3</v>
      </c>
      <c r="CE37" s="176">
        <f>CD37/$CG$4</f>
        <v>0.25</v>
      </c>
      <c r="CF37" s="13">
        <v>32</v>
      </c>
      <c r="CG37" s="159" t="str">
        <f t="shared" si="3"/>
        <v/>
      </c>
    </row>
    <row r="38" spans="1:92" x14ac:dyDescent="0.25">
      <c r="A38" s="4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BB38" s="43"/>
      <c r="BV38" s="12" t="s">
        <v>48</v>
      </c>
      <c r="BW38" s="12">
        <f>COUNTIF($BB$45:$BM$74,BV38)</f>
        <v>4</v>
      </c>
      <c r="BX38" s="169">
        <f>BW38/$BZ$4</f>
        <v>0.33333333333333331</v>
      </c>
      <c r="BY38" s="12">
        <v>34</v>
      </c>
      <c r="BZ38" s="159" t="str">
        <f t="shared" si="2"/>
        <v/>
      </c>
      <c r="CC38" s="97" t="s">
        <v>66</v>
      </c>
      <c r="CD38" s="159">
        <f>COUNTIF($BB$80:$BM$116,CC38)</f>
        <v>6</v>
      </c>
      <c r="CE38" s="176">
        <f>CD38/$CG$4</f>
        <v>0.5</v>
      </c>
      <c r="CF38" s="13">
        <v>34</v>
      </c>
      <c r="CG38" s="159" t="str">
        <f t="shared" si="3"/>
        <v/>
      </c>
    </row>
    <row r="39" spans="1:92" x14ac:dyDescent="0.25">
      <c r="A39" s="4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BB39" s="43"/>
      <c r="BV39" s="12" t="s">
        <v>59</v>
      </c>
      <c r="BW39" s="12">
        <f>COUNTIF($BB$45:$BM$74,BV39)</f>
        <v>2</v>
      </c>
      <c r="BX39" s="169">
        <f>BW39/$BZ$4</f>
        <v>0.16666666666666666</v>
      </c>
      <c r="BY39" s="12">
        <v>35</v>
      </c>
      <c r="BZ39" s="159" t="str">
        <f t="shared" si="2"/>
        <v/>
      </c>
      <c r="CC39" s="97" t="s">
        <v>67</v>
      </c>
      <c r="CD39" s="159">
        <f>COUNTIF($BB$80:$BM$116,CC39)</f>
        <v>6</v>
      </c>
      <c r="CE39" s="176">
        <f>CD39/$CG$4</f>
        <v>0.5</v>
      </c>
      <c r="CF39" s="13">
        <v>35</v>
      </c>
      <c r="CG39" s="159" t="str">
        <f t="shared" si="3"/>
        <v/>
      </c>
    </row>
    <row r="40" spans="1:92" x14ac:dyDescent="0.25">
      <c r="A40" s="4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BB40" s="43"/>
      <c r="BV40" s="12" t="s">
        <v>61</v>
      </c>
      <c r="BW40" s="12">
        <f>COUNTIF($BB$45:$BM$74,BV40)</f>
        <v>2</v>
      </c>
      <c r="BX40" s="169">
        <f>BW40/$BZ$4</f>
        <v>0.16666666666666666</v>
      </c>
      <c r="BY40" s="12">
        <v>36</v>
      </c>
      <c r="BZ40" s="159" t="str">
        <f t="shared" si="2"/>
        <v/>
      </c>
      <c r="CC40" s="186" t="s">
        <v>65</v>
      </c>
      <c r="CD40" s="159">
        <f>COUNTIF($BB$80:$BM$116,CC40)</f>
        <v>5</v>
      </c>
      <c r="CE40" s="176">
        <f>CD40/$CG$4</f>
        <v>0.41666666666666669</v>
      </c>
      <c r="CF40" s="13">
        <v>33</v>
      </c>
      <c r="CG40" s="159" t="str">
        <f t="shared" si="3"/>
        <v/>
      </c>
    </row>
    <row r="41" spans="1:92" x14ac:dyDescent="0.2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BB41" s="43"/>
      <c r="BV41" s="12" t="s">
        <v>47</v>
      </c>
      <c r="BW41" s="12">
        <f>COUNTIF($BB$45:$BM$74,BV41)</f>
        <v>4</v>
      </c>
      <c r="BX41" s="169">
        <f>BW41/$BZ$4</f>
        <v>0.33333333333333331</v>
      </c>
      <c r="BY41" s="12">
        <v>37</v>
      </c>
      <c r="BZ41" s="159" t="str">
        <f t="shared" si="2"/>
        <v/>
      </c>
      <c r="CC41" s="97" t="s">
        <v>74</v>
      </c>
      <c r="CD41" s="159">
        <f>COUNTIF($BB$80:$BM$116,CC41)</f>
        <v>5</v>
      </c>
      <c r="CE41" s="176">
        <f>CD41/$CG$4</f>
        <v>0.41666666666666669</v>
      </c>
      <c r="CF41" s="13">
        <v>43</v>
      </c>
      <c r="CG41" s="159" t="str">
        <f t="shared" si="3"/>
        <v/>
      </c>
    </row>
    <row r="42" spans="1:92" ht="18.75" x14ac:dyDescent="0.3">
      <c r="D42" s="132">
        <v>2023</v>
      </c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BB42" s="43"/>
      <c r="BV42" s="12" t="s">
        <v>51</v>
      </c>
      <c r="BW42" s="12">
        <f>COUNTIF($BB$45:$BM$74,BV42)</f>
        <v>3</v>
      </c>
      <c r="BX42" s="169">
        <f>BW42/$BZ$4</f>
        <v>0.25</v>
      </c>
      <c r="BY42" s="12">
        <v>38</v>
      </c>
      <c r="BZ42" s="159" t="str">
        <f t="shared" si="2"/>
        <v/>
      </c>
      <c r="CC42" s="97" t="s">
        <v>63</v>
      </c>
      <c r="CD42" s="159">
        <f>COUNTIF($BB$80:$BM$116,CC42)</f>
        <v>1</v>
      </c>
      <c r="CE42" s="176">
        <f>CD42/$CG$4</f>
        <v>8.3333333333333329E-2</v>
      </c>
      <c r="CF42" s="13">
        <v>31</v>
      </c>
      <c r="CG42" s="159" t="str">
        <f t="shared" si="3"/>
        <v/>
      </c>
    </row>
    <row r="43" spans="1:92" x14ac:dyDescent="0.25">
      <c r="D43" s="133" t="s">
        <v>0</v>
      </c>
      <c r="E43" s="134"/>
      <c r="F43" s="134"/>
      <c r="G43" s="135"/>
      <c r="H43" s="126" t="s">
        <v>1</v>
      </c>
      <c r="I43" s="127"/>
      <c r="J43" s="127"/>
      <c r="K43" s="128"/>
      <c r="L43" s="126" t="s">
        <v>2</v>
      </c>
      <c r="M43" s="127"/>
      <c r="N43" s="127"/>
      <c r="O43" s="128"/>
      <c r="P43" s="126" t="s">
        <v>3</v>
      </c>
      <c r="Q43" s="127"/>
      <c r="R43" s="127"/>
      <c r="S43" s="128"/>
      <c r="T43" s="127" t="s">
        <v>4</v>
      </c>
      <c r="U43" s="127"/>
      <c r="V43" s="127"/>
      <c r="W43" s="128"/>
      <c r="X43" s="126" t="s">
        <v>5</v>
      </c>
      <c r="Y43" s="127"/>
      <c r="Z43" s="127"/>
      <c r="AA43" s="128"/>
      <c r="AB43" s="126" t="s">
        <v>6</v>
      </c>
      <c r="AC43" s="127"/>
      <c r="AD43" s="127"/>
      <c r="AE43" s="128"/>
      <c r="AF43" s="129" t="s">
        <v>7</v>
      </c>
      <c r="AG43" s="130"/>
      <c r="AH43" s="130"/>
      <c r="AI43" s="131"/>
      <c r="AJ43" s="126" t="s">
        <v>8</v>
      </c>
      <c r="AK43" s="127"/>
      <c r="AL43" s="127"/>
      <c r="AM43" s="128"/>
      <c r="AN43" s="126" t="s">
        <v>9</v>
      </c>
      <c r="AO43" s="127"/>
      <c r="AP43" s="127"/>
      <c r="AQ43" s="128"/>
      <c r="AR43" s="126" t="s">
        <v>10</v>
      </c>
      <c r="AS43" s="127"/>
      <c r="AT43" s="127"/>
      <c r="AU43" s="128"/>
      <c r="AV43" s="127" t="s">
        <v>11</v>
      </c>
      <c r="AW43" s="127"/>
      <c r="AX43" s="127"/>
      <c r="AY43" s="128"/>
      <c r="BB43" s="153">
        <v>2023</v>
      </c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V43" s="12" t="s">
        <v>52</v>
      </c>
      <c r="BW43" s="12">
        <f>COUNTIF($BB$45:$BM$74,BV43)</f>
        <v>2</v>
      </c>
      <c r="BX43" s="169">
        <f>BW43/$BZ$4</f>
        <v>0.16666666666666666</v>
      </c>
      <c r="BY43" s="12">
        <v>39</v>
      </c>
      <c r="BZ43" s="159" t="str">
        <f t="shared" si="2"/>
        <v/>
      </c>
      <c r="CC43" s="97" t="s">
        <v>69</v>
      </c>
      <c r="CD43" s="159">
        <f>COUNTIF($BB$80:$BM$116,CC43)</f>
        <v>6</v>
      </c>
      <c r="CE43" s="176">
        <f>CD43/$CG$4</f>
        <v>0.5</v>
      </c>
      <c r="CF43" s="13">
        <v>38</v>
      </c>
      <c r="CG43" s="159" t="str">
        <f t="shared" si="3"/>
        <v/>
      </c>
    </row>
    <row r="44" spans="1:92" x14ac:dyDescent="0.25">
      <c r="A44" s="30" t="s">
        <v>28</v>
      </c>
      <c r="B44" s="26" t="s">
        <v>80</v>
      </c>
      <c r="C44" s="26" t="s">
        <v>95</v>
      </c>
      <c r="D44" s="27" t="s">
        <v>12</v>
      </c>
      <c r="E44" s="28" t="s">
        <v>13</v>
      </c>
      <c r="F44" s="28" t="s">
        <v>14</v>
      </c>
      <c r="G44" s="29" t="s">
        <v>15</v>
      </c>
      <c r="H44" s="46" t="s">
        <v>12</v>
      </c>
      <c r="I44" s="46" t="s">
        <v>13</v>
      </c>
      <c r="J44" s="46" t="s">
        <v>14</v>
      </c>
      <c r="K44" s="47" t="s">
        <v>15</v>
      </c>
      <c r="L44" s="27" t="s">
        <v>12</v>
      </c>
      <c r="M44" s="28" t="s">
        <v>13</v>
      </c>
      <c r="N44" s="28" t="s">
        <v>14</v>
      </c>
      <c r="O44" s="29" t="s">
        <v>15</v>
      </c>
      <c r="P44" s="27" t="s">
        <v>12</v>
      </c>
      <c r="Q44" s="28" t="s">
        <v>13</v>
      </c>
      <c r="R44" s="28" t="s">
        <v>14</v>
      </c>
      <c r="S44" s="29" t="s">
        <v>15</v>
      </c>
      <c r="T44" s="27" t="s">
        <v>12</v>
      </c>
      <c r="U44" s="28" t="s">
        <v>13</v>
      </c>
      <c r="V44" s="28" t="s">
        <v>14</v>
      </c>
      <c r="W44" s="29" t="s">
        <v>15</v>
      </c>
      <c r="X44" s="27" t="s">
        <v>12</v>
      </c>
      <c r="Y44" s="28" t="s">
        <v>13</v>
      </c>
      <c r="Z44" s="28" t="s">
        <v>14</v>
      </c>
      <c r="AA44" s="29" t="s">
        <v>15</v>
      </c>
      <c r="AB44" s="27" t="s">
        <v>12</v>
      </c>
      <c r="AC44" s="28" t="s">
        <v>13</v>
      </c>
      <c r="AD44" s="28" t="s">
        <v>14</v>
      </c>
      <c r="AE44" s="29" t="s">
        <v>15</v>
      </c>
      <c r="AF44" s="55" t="s">
        <v>12</v>
      </c>
      <c r="AG44" s="56" t="s">
        <v>13</v>
      </c>
      <c r="AH44" s="56" t="s">
        <v>14</v>
      </c>
      <c r="AI44" s="57" t="s">
        <v>15</v>
      </c>
      <c r="AJ44" s="55" t="s">
        <v>12</v>
      </c>
      <c r="AK44" s="56" t="s">
        <v>13</v>
      </c>
      <c r="AL44" s="56" t="s">
        <v>14</v>
      </c>
      <c r="AM44" s="57" t="s">
        <v>15</v>
      </c>
      <c r="AN44" s="55" t="s">
        <v>12</v>
      </c>
      <c r="AO44" s="56" t="s">
        <v>13</v>
      </c>
      <c r="AP44" s="56" t="s">
        <v>14</v>
      </c>
      <c r="AQ44" s="57" t="s">
        <v>15</v>
      </c>
      <c r="AR44" s="55" t="s">
        <v>12</v>
      </c>
      <c r="AS44" s="56" t="s">
        <v>13</v>
      </c>
      <c r="AT44" s="56" t="s">
        <v>14</v>
      </c>
      <c r="AU44" s="57" t="s">
        <v>15</v>
      </c>
      <c r="AV44" s="55" t="s">
        <v>12</v>
      </c>
      <c r="AW44" s="56" t="s">
        <v>13</v>
      </c>
      <c r="AX44" s="56" t="s">
        <v>14</v>
      </c>
      <c r="AY44" s="57" t="s">
        <v>15</v>
      </c>
      <c r="BB44" s="150" t="s">
        <v>102</v>
      </c>
      <c r="BC44" s="150" t="s">
        <v>99</v>
      </c>
      <c r="BD44" s="150" t="s">
        <v>100</v>
      </c>
      <c r="BE44" s="150" t="s">
        <v>101</v>
      </c>
      <c r="BF44" s="26" t="s">
        <v>103</v>
      </c>
      <c r="BG44" s="26" t="s">
        <v>104</v>
      </c>
      <c r="BH44" s="26" t="s">
        <v>105</v>
      </c>
      <c r="BI44" s="119" t="s">
        <v>106</v>
      </c>
      <c r="BJ44" s="119" t="s">
        <v>107</v>
      </c>
      <c r="BK44" s="119" t="s">
        <v>108</v>
      </c>
      <c r="BL44" s="119" t="s">
        <v>109</v>
      </c>
      <c r="BM44" s="119" t="s">
        <v>110</v>
      </c>
      <c r="BV44" s="12" t="s">
        <v>39</v>
      </c>
      <c r="BW44" s="12">
        <f>COUNTIF($BB$45:$BM$74,BV44)</f>
        <v>2</v>
      </c>
      <c r="BX44" s="169">
        <f>BW44/$BZ$4</f>
        <v>0.16666666666666666</v>
      </c>
      <c r="BY44" s="12">
        <v>40</v>
      </c>
      <c r="BZ44" s="159" t="str">
        <f t="shared" si="2"/>
        <v/>
      </c>
      <c r="CC44" s="189" t="s">
        <v>76</v>
      </c>
      <c r="CD44" s="159">
        <f>COUNTIF($BB$80:$BM$116,CC44)</f>
        <v>3</v>
      </c>
      <c r="CE44" s="176">
        <f>CD44/$CG$4</f>
        <v>0.25</v>
      </c>
      <c r="CF44" s="13">
        <v>45</v>
      </c>
      <c r="CG44" s="159" t="str">
        <f t="shared" si="3"/>
        <v/>
      </c>
    </row>
    <row r="45" spans="1:92" x14ac:dyDescent="0.25">
      <c r="A45" s="105" t="s">
        <v>24</v>
      </c>
      <c r="B45" s="105" t="s">
        <v>81</v>
      </c>
      <c r="C45" s="118">
        <f>COUNTIF($D$45:$AY$75,A45)</f>
        <v>11</v>
      </c>
      <c r="D45" s="8" t="s">
        <v>18</v>
      </c>
      <c r="E45" s="3" t="s">
        <v>35</v>
      </c>
      <c r="F45" s="3" t="s">
        <v>35</v>
      </c>
      <c r="G45" s="3"/>
      <c r="H45" s="48" t="s">
        <v>18</v>
      </c>
      <c r="I45" s="49" t="s">
        <v>35</v>
      </c>
      <c r="J45" s="49" t="s">
        <v>35</v>
      </c>
      <c r="K45" s="50"/>
      <c r="L45" s="2" t="s">
        <v>18</v>
      </c>
      <c r="M45" s="3" t="s">
        <v>35</v>
      </c>
      <c r="N45" s="3" t="s">
        <v>35</v>
      </c>
      <c r="O45" s="4"/>
      <c r="P45" s="2" t="s">
        <v>18</v>
      </c>
      <c r="Q45" s="3" t="s">
        <v>35</v>
      </c>
      <c r="R45" s="3" t="s">
        <v>35</v>
      </c>
      <c r="S45" s="4"/>
      <c r="T45" s="12" t="s">
        <v>18</v>
      </c>
      <c r="U45" s="13" t="s">
        <v>35</v>
      </c>
      <c r="V45" s="13" t="s">
        <v>35</v>
      </c>
      <c r="W45" s="14"/>
      <c r="X45" s="12" t="s">
        <v>18</v>
      </c>
      <c r="Y45" s="13" t="s">
        <v>35</v>
      </c>
      <c r="Z45" s="13" t="s">
        <v>35</v>
      </c>
      <c r="AA45" s="14"/>
      <c r="AB45" s="12" t="s">
        <v>18</v>
      </c>
      <c r="AC45" s="13" t="s">
        <v>35</v>
      </c>
      <c r="AD45" s="13" t="s">
        <v>35</v>
      </c>
      <c r="AE45" s="14"/>
      <c r="AF45" s="12" t="s">
        <v>18</v>
      </c>
      <c r="AG45" s="13" t="s">
        <v>35</v>
      </c>
      <c r="AH45" s="13" t="s">
        <v>35</v>
      </c>
      <c r="AI45" s="14"/>
      <c r="AJ45" s="12" t="s">
        <v>18</v>
      </c>
      <c r="AK45" s="13" t="s">
        <v>35</v>
      </c>
      <c r="AL45" s="13" t="s">
        <v>35</v>
      </c>
      <c r="AM45" s="14"/>
      <c r="AN45" s="12" t="s">
        <v>18</v>
      </c>
      <c r="AO45" s="13" t="s">
        <v>35</v>
      </c>
      <c r="AP45" s="13" t="s">
        <v>35</v>
      </c>
      <c r="AQ45" s="14"/>
      <c r="AR45" s="35" t="s">
        <v>18</v>
      </c>
      <c r="AS45" s="34" t="s">
        <v>35</v>
      </c>
      <c r="AT45" s="34" t="s">
        <v>35</v>
      </c>
      <c r="AU45" s="14"/>
      <c r="AV45" s="35" t="s">
        <v>18</v>
      </c>
      <c r="AW45" s="34" t="s">
        <v>35</v>
      </c>
      <c r="AX45" s="34" t="s">
        <v>35</v>
      </c>
      <c r="AY45" s="36"/>
      <c r="AZ45" s="43"/>
      <c r="BA45" s="43"/>
      <c r="BB45" s="154" t="str">
        <f>D45</f>
        <v>48C6</v>
      </c>
      <c r="BC45" s="155" t="str">
        <f>H45</f>
        <v>48C6</v>
      </c>
      <c r="BD45" s="155" t="str">
        <f>L45</f>
        <v>48C6</v>
      </c>
      <c r="BE45" s="49" t="str">
        <f>P45</f>
        <v>48C6</v>
      </c>
      <c r="BF45" s="49" t="str">
        <f>T45</f>
        <v>48C6</v>
      </c>
      <c r="BG45" s="49" t="str">
        <f>X45</f>
        <v>48C6</v>
      </c>
      <c r="BH45" s="49" t="str">
        <f>AB45</f>
        <v>48C6</v>
      </c>
      <c r="BI45" s="49" t="str">
        <f>AF45</f>
        <v>48C6</v>
      </c>
      <c r="BJ45" s="49" t="str">
        <f>AJ45</f>
        <v>48C6</v>
      </c>
      <c r="BK45" s="49" t="str">
        <f>AN45</f>
        <v>48C6</v>
      </c>
      <c r="BL45" s="49" t="str">
        <f>AR45</f>
        <v>48C6</v>
      </c>
      <c r="BM45" s="50" t="str">
        <f>AV45</f>
        <v>48C6</v>
      </c>
      <c r="BV45" s="32" t="s">
        <v>29</v>
      </c>
      <c r="BW45" s="12">
        <f>COUNTIF($BB$45:$BM$74,BV45)</f>
        <v>12</v>
      </c>
      <c r="BX45" s="169">
        <f>BW45/$BZ$4</f>
        <v>1</v>
      </c>
      <c r="BY45" s="12">
        <v>41</v>
      </c>
      <c r="BZ45" s="159" t="str">
        <f t="shared" si="2"/>
        <v>F1AE</v>
      </c>
      <c r="CC45" s="188" t="s">
        <v>75</v>
      </c>
      <c r="CD45" s="159">
        <f>COUNTIF($BB$80:$BM$116,CC45)</f>
        <v>3</v>
      </c>
      <c r="CE45" s="176">
        <f>CD45/$CG$4</f>
        <v>0.25</v>
      </c>
      <c r="CF45" s="13">
        <v>44</v>
      </c>
      <c r="CG45" s="159" t="str">
        <f t="shared" si="3"/>
        <v/>
      </c>
    </row>
    <row r="46" spans="1:92" x14ac:dyDescent="0.25">
      <c r="A46" s="21" t="s">
        <v>26</v>
      </c>
      <c r="B46" s="21" t="s">
        <v>82</v>
      </c>
      <c r="C46" s="118">
        <f t="shared" ref="C46:C58" si="6">COUNTIF($D$45:$AY$75,A46)</f>
        <v>11</v>
      </c>
      <c r="D46" s="8" t="s">
        <v>19</v>
      </c>
      <c r="E46" s="3" t="s">
        <v>35</v>
      </c>
      <c r="F46" s="3" t="s">
        <v>35</v>
      </c>
      <c r="G46" s="3"/>
      <c r="H46" s="8" t="s">
        <v>21</v>
      </c>
      <c r="I46" s="3"/>
      <c r="J46" s="3" t="s">
        <v>35</v>
      </c>
      <c r="K46" s="4"/>
      <c r="L46" s="2" t="s">
        <v>21</v>
      </c>
      <c r="M46" s="3"/>
      <c r="N46" s="3" t="s">
        <v>35</v>
      </c>
      <c r="O46" s="4"/>
      <c r="P46" s="2" t="s">
        <v>21</v>
      </c>
      <c r="Q46" s="3"/>
      <c r="R46" s="3" t="s">
        <v>35</v>
      </c>
      <c r="S46" s="4"/>
      <c r="T46" s="12" t="s">
        <v>21</v>
      </c>
      <c r="U46" s="13"/>
      <c r="V46" s="13" t="s">
        <v>35</v>
      </c>
      <c r="W46" s="14"/>
      <c r="X46" s="12" t="s">
        <v>21</v>
      </c>
      <c r="Y46" s="13"/>
      <c r="Z46" s="13" t="s">
        <v>35</v>
      </c>
      <c r="AA46" s="14"/>
      <c r="AB46" s="12" t="s">
        <v>19</v>
      </c>
      <c r="AC46" s="13" t="s">
        <v>35</v>
      </c>
      <c r="AD46" s="34" t="s">
        <v>35</v>
      </c>
      <c r="AE46" s="36"/>
      <c r="AF46" s="12" t="s">
        <v>19</v>
      </c>
      <c r="AG46" s="34" t="s">
        <v>35</v>
      </c>
      <c r="AH46" s="34" t="s">
        <v>35</v>
      </c>
      <c r="AI46" s="36"/>
      <c r="AJ46" s="35" t="s">
        <v>19</v>
      </c>
      <c r="AK46" s="34" t="s">
        <v>35</v>
      </c>
      <c r="AL46" s="13" t="s">
        <v>35</v>
      </c>
      <c r="AM46" s="14"/>
      <c r="AN46" s="12" t="s">
        <v>19</v>
      </c>
      <c r="AO46" s="13" t="s">
        <v>35</v>
      </c>
      <c r="AP46" s="13" t="s">
        <v>35</v>
      </c>
      <c r="AQ46" s="14"/>
      <c r="AR46" s="35" t="s">
        <v>19</v>
      </c>
      <c r="AS46" s="34" t="s">
        <v>35</v>
      </c>
      <c r="AT46" s="34" t="s">
        <v>35</v>
      </c>
      <c r="AU46" s="14"/>
      <c r="AV46" s="35" t="s">
        <v>19</v>
      </c>
      <c r="AW46" s="34" t="s">
        <v>35</v>
      </c>
      <c r="AX46" s="34" t="s">
        <v>35</v>
      </c>
      <c r="AY46" s="36"/>
      <c r="AZ46" s="43"/>
      <c r="BA46" s="43"/>
      <c r="BB46" s="12" t="str">
        <f>D46</f>
        <v>532E</v>
      </c>
      <c r="BC46" s="13" t="str">
        <f>H46</f>
        <v>2BBA</v>
      </c>
      <c r="BD46" s="13" t="str">
        <f>L46</f>
        <v>2BBA</v>
      </c>
      <c r="BE46" s="3" t="str">
        <f>P46</f>
        <v>2BBA</v>
      </c>
      <c r="BF46" s="3" t="str">
        <f>T46</f>
        <v>2BBA</v>
      </c>
      <c r="BG46" s="3" t="str">
        <f>X46</f>
        <v>2BBA</v>
      </c>
      <c r="BH46" s="3" t="str">
        <f>AB46</f>
        <v>532E</v>
      </c>
      <c r="BI46" s="3" t="str">
        <f>AF46</f>
        <v>532E</v>
      </c>
      <c r="BJ46" s="3" t="str">
        <f>AJ46</f>
        <v>532E</v>
      </c>
      <c r="BK46" s="3" t="str">
        <f>AN46</f>
        <v>532E</v>
      </c>
      <c r="BL46" s="3" t="str">
        <f>AR46</f>
        <v>532E</v>
      </c>
      <c r="BM46" s="4" t="str">
        <f>AV46</f>
        <v>532E</v>
      </c>
      <c r="BV46" s="151" t="s">
        <v>46</v>
      </c>
      <c r="BW46" s="151">
        <f>COUNTIF($BB$45:$BM$74,BV46)</f>
        <v>4</v>
      </c>
      <c r="BX46" s="171">
        <f>BW46/$BZ$4</f>
        <v>0.33333333333333331</v>
      </c>
      <c r="BY46" s="151">
        <v>42</v>
      </c>
      <c r="BZ46" s="160" t="str">
        <f t="shared" si="2"/>
        <v/>
      </c>
      <c r="CC46" s="97" t="s">
        <v>71</v>
      </c>
      <c r="CD46" s="159">
        <f>COUNTIF($BB$80:$BM$116,CC46)</f>
        <v>6</v>
      </c>
      <c r="CE46" s="176">
        <f>CD46/$CG$4</f>
        <v>0.5</v>
      </c>
      <c r="CF46" s="13">
        <v>40</v>
      </c>
      <c r="CG46" s="159" t="str">
        <f t="shared" si="3"/>
        <v/>
      </c>
    </row>
    <row r="47" spans="1:92" x14ac:dyDescent="0.25">
      <c r="A47" s="22" t="s">
        <v>29</v>
      </c>
      <c r="B47" s="22" t="s">
        <v>83</v>
      </c>
      <c r="C47" s="118">
        <f t="shared" si="6"/>
        <v>12</v>
      </c>
      <c r="D47" s="8" t="s">
        <v>21</v>
      </c>
      <c r="E47" s="39"/>
      <c r="F47" s="39" t="s">
        <v>35</v>
      </c>
      <c r="G47" s="39"/>
      <c r="H47" s="9" t="s">
        <v>24</v>
      </c>
      <c r="I47" s="39" t="s">
        <v>35</v>
      </c>
      <c r="J47" s="39" t="s">
        <v>35</v>
      </c>
      <c r="K47" s="40"/>
      <c r="L47" s="8" t="s">
        <v>22</v>
      </c>
      <c r="M47" s="39"/>
      <c r="N47" s="39"/>
      <c r="O47" s="40"/>
      <c r="P47" s="8" t="s">
        <v>22</v>
      </c>
      <c r="Q47" s="39"/>
      <c r="R47" s="39"/>
      <c r="S47" s="40"/>
      <c r="T47" s="15" t="s">
        <v>24</v>
      </c>
      <c r="U47" s="34" t="s">
        <v>35</v>
      </c>
      <c r="V47" s="34" t="s">
        <v>35</v>
      </c>
      <c r="W47" s="36"/>
      <c r="X47" s="15" t="s">
        <v>24</v>
      </c>
      <c r="Y47" s="34" t="s">
        <v>35</v>
      </c>
      <c r="Z47" s="34" t="s">
        <v>35</v>
      </c>
      <c r="AA47" s="36"/>
      <c r="AB47" s="35" t="s">
        <v>21</v>
      </c>
      <c r="AC47" s="34"/>
      <c r="AD47" s="34" t="s">
        <v>35</v>
      </c>
      <c r="AE47" s="36"/>
      <c r="AF47" s="15" t="s">
        <v>24</v>
      </c>
      <c r="AG47" s="34" t="s">
        <v>35</v>
      </c>
      <c r="AH47" s="34" t="s">
        <v>35</v>
      </c>
      <c r="AI47" s="36"/>
      <c r="AJ47" s="35" t="s">
        <v>21</v>
      </c>
      <c r="AK47" s="34"/>
      <c r="AL47" s="13" t="s">
        <v>35</v>
      </c>
      <c r="AM47" s="14"/>
      <c r="AN47" s="35" t="s">
        <v>21</v>
      </c>
      <c r="AO47" s="34"/>
      <c r="AP47" s="13" t="s">
        <v>35</v>
      </c>
      <c r="AQ47" s="14"/>
      <c r="AR47" s="35" t="s">
        <v>21</v>
      </c>
      <c r="AS47" s="34"/>
      <c r="AT47" s="34" t="s">
        <v>35</v>
      </c>
      <c r="AU47" s="14"/>
      <c r="AV47" s="15" t="s">
        <v>24</v>
      </c>
      <c r="AW47" s="34" t="s">
        <v>35</v>
      </c>
      <c r="AX47" s="34" t="s">
        <v>35</v>
      </c>
      <c r="AY47" s="36"/>
      <c r="AZ47" s="43"/>
      <c r="BA47" s="43"/>
      <c r="BB47" s="12" t="str">
        <f>D47</f>
        <v>2BBA</v>
      </c>
      <c r="BC47" s="13" t="str">
        <f>H47</f>
        <v>14D6</v>
      </c>
      <c r="BD47" s="13" t="str">
        <f>L47</f>
        <v>36FA</v>
      </c>
      <c r="BE47" s="3" t="str">
        <f>P47</f>
        <v>36FA</v>
      </c>
      <c r="BF47" s="3" t="str">
        <f>T47</f>
        <v>14D6</v>
      </c>
      <c r="BG47" s="3" t="str">
        <f>X47</f>
        <v>14D6</v>
      </c>
      <c r="BH47" s="3" t="str">
        <f>AB47</f>
        <v>2BBA</v>
      </c>
      <c r="BI47" s="3" t="str">
        <f>AF47</f>
        <v>14D6</v>
      </c>
      <c r="BJ47" s="3" t="str">
        <f>AJ47</f>
        <v>2BBA</v>
      </c>
      <c r="BK47" s="3" t="str">
        <f>AN47</f>
        <v>2BBA</v>
      </c>
      <c r="BL47" s="3" t="str">
        <f>AR47</f>
        <v>2BBA</v>
      </c>
      <c r="BM47" s="4" t="str">
        <f>AV47</f>
        <v>14D6</v>
      </c>
      <c r="BX47" s="16"/>
      <c r="BY47" s="13"/>
      <c r="CC47" s="159" t="s">
        <v>59</v>
      </c>
      <c r="CD47" s="159">
        <f>COUNTIF($BB$80:$BM$116,CC47)</f>
        <v>8</v>
      </c>
      <c r="CE47" s="176">
        <f>CD47/$CG$4</f>
        <v>0.66666666666666663</v>
      </c>
      <c r="CF47" s="13">
        <v>16</v>
      </c>
      <c r="CG47" s="159" t="str">
        <f t="shared" si="3"/>
        <v/>
      </c>
    </row>
    <row r="48" spans="1:92" x14ac:dyDescent="0.25">
      <c r="A48" s="23">
        <v>1712</v>
      </c>
      <c r="B48" s="23" t="s">
        <v>84</v>
      </c>
      <c r="C48" s="110">
        <f t="shared" si="6"/>
        <v>9</v>
      </c>
      <c r="D48" s="8" t="s">
        <v>25</v>
      </c>
      <c r="E48" s="39" t="s">
        <v>35</v>
      </c>
      <c r="F48" s="39" t="s">
        <v>35</v>
      </c>
      <c r="G48" s="39"/>
      <c r="H48" s="8" t="s">
        <v>25</v>
      </c>
      <c r="I48" s="39" t="s">
        <v>35</v>
      </c>
      <c r="J48" s="39" t="s">
        <v>35</v>
      </c>
      <c r="K48" s="40"/>
      <c r="L48" s="9" t="s">
        <v>24</v>
      </c>
      <c r="M48" s="39" t="s">
        <v>35</v>
      </c>
      <c r="N48" s="39" t="s">
        <v>35</v>
      </c>
      <c r="O48" s="40"/>
      <c r="P48" s="9" t="s">
        <v>24</v>
      </c>
      <c r="Q48" s="39" t="s">
        <v>35</v>
      </c>
      <c r="R48" s="39" t="s">
        <v>35</v>
      </c>
      <c r="S48" s="40"/>
      <c r="T48" s="31" t="s">
        <v>26</v>
      </c>
      <c r="U48" s="34" t="s">
        <v>35</v>
      </c>
      <c r="V48" s="34" t="s">
        <v>35</v>
      </c>
      <c r="W48" s="36"/>
      <c r="X48" s="35">
        <v>2492</v>
      </c>
      <c r="Y48" s="34" t="s">
        <v>35</v>
      </c>
      <c r="Z48" s="34" t="s">
        <v>35</v>
      </c>
      <c r="AA48" s="36"/>
      <c r="AB48" s="15" t="s">
        <v>24</v>
      </c>
      <c r="AC48" s="34" t="s">
        <v>35</v>
      </c>
      <c r="AD48" s="34" t="s">
        <v>35</v>
      </c>
      <c r="AE48" s="36"/>
      <c r="AF48" s="31" t="s">
        <v>26</v>
      </c>
      <c r="AG48" s="34" t="s">
        <v>35</v>
      </c>
      <c r="AH48" s="34" t="s">
        <v>35</v>
      </c>
      <c r="AI48" s="36"/>
      <c r="AJ48" s="15" t="s">
        <v>24</v>
      </c>
      <c r="AK48" s="34" t="s">
        <v>35</v>
      </c>
      <c r="AL48" s="13" t="s">
        <v>35</v>
      </c>
      <c r="AM48" s="14"/>
      <c r="AN48" s="15" t="s">
        <v>24</v>
      </c>
      <c r="AO48" s="34" t="s">
        <v>35</v>
      </c>
      <c r="AP48" s="13" t="s">
        <v>35</v>
      </c>
      <c r="AQ48" s="14"/>
      <c r="AR48" s="15" t="s">
        <v>24</v>
      </c>
      <c r="AS48" s="34" t="s">
        <v>35</v>
      </c>
      <c r="AT48" s="34" t="s">
        <v>35</v>
      </c>
      <c r="AU48" s="14"/>
      <c r="AV48" s="31" t="s">
        <v>26</v>
      </c>
      <c r="AW48" s="34" t="s">
        <v>35</v>
      </c>
      <c r="AX48" s="34" t="s">
        <v>35</v>
      </c>
      <c r="AY48" s="36"/>
      <c r="AZ48" s="43"/>
      <c r="BA48" s="43"/>
      <c r="BB48" s="12" t="str">
        <f>D48</f>
        <v>4D7A</v>
      </c>
      <c r="BC48" s="13" t="str">
        <f>H48</f>
        <v>4D7A</v>
      </c>
      <c r="BD48" s="13" t="str">
        <f>L48</f>
        <v>14D6</v>
      </c>
      <c r="BE48" s="3" t="str">
        <f>P48</f>
        <v>14D6</v>
      </c>
      <c r="BF48" s="3" t="str">
        <f>T48</f>
        <v>2FF6</v>
      </c>
      <c r="BG48" s="3">
        <f>X48</f>
        <v>2492</v>
      </c>
      <c r="BH48" s="3" t="str">
        <f>AB48</f>
        <v>14D6</v>
      </c>
      <c r="BI48" s="3" t="str">
        <f>AF48</f>
        <v>2FF6</v>
      </c>
      <c r="BJ48" s="3" t="str">
        <f>AJ48</f>
        <v>14D6</v>
      </c>
      <c r="BK48" s="3" t="str">
        <f>AN48</f>
        <v>14D6</v>
      </c>
      <c r="BL48" s="3" t="str">
        <f>AR48</f>
        <v>14D6</v>
      </c>
      <c r="BM48" s="4" t="str">
        <f>AV48</f>
        <v>2FF6</v>
      </c>
      <c r="CC48" s="97" t="s">
        <v>61</v>
      </c>
      <c r="CD48" s="159">
        <f>COUNTIF($BB$80:$BM$116,CC48)</f>
        <v>3</v>
      </c>
      <c r="CE48" s="176">
        <f>CD48/$CG$4</f>
        <v>0.25</v>
      </c>
      <c r="CF48" s="13">
        <v>30</v>
      </c>
      <c r="CG48" s="159" t="str">
        <f t="shared" si="3"/>
        <v/>
      </c>
    </row>
    <row r="49" spans="1:85" x14ac:dyDescent="0.25">
      <c r="A49" s="24" t="s">
        <v>30</v>
      </c>
      <c r="B49" s="24" t="s">
        <v>85</v>
      </c>
      <c r="C49" s="110">
        <f t="shared" si="6"/>
        <v>10</v>
      </c>
      <c r="D49" s="11" t="s">
        <v>26</v>
      </c>
      <c r="E49" s="39" t="s">
        <v>35</v>
      </c>
      <c r="F49" s="39" t="s">
        <v>35</v>
      </c>
      <c r="G49" s="39"/>
      <c r="H49" s="11" t="s">
        <v>26</v>
      </c>
      <c r="I49" s="39" t="s">
        <v>35</v>
      </c>
      <c r="J49" s="39" t="s">
        <v>35</v>
      </c>
      <c r="K49" s="40"/>
      <c r="L49" s="11" t="s">
        <v>26</v>
      </c>
      <c r="M49" s="39" t="s">
        <v>35</v>
      </c>
      <c r="N49" s="39" t="s">
        <v>35</v>
      </c>
      <c r="O49" s="40"/>
      <c r="P49" s="11" t="s">
        <v>26</v>
      </c>
      <c r="Q49" s="39" t="s">
        <v>35</v>
      </c>
      <c r="R49" s="39" t="s">
        <v>35</v>
      </c>
      <c r="S49" s="40"/>
      <c r="T49" s="35">
        <v>2492</v>
      </c>
      <c r="U49" s="34" t="s">
        <v>35</v>
      </c>
      <c r="V49" s="34" t="s">
        <v>35</v>
      </c>
      <c r="W49" s="36"/>
      <c r="X49" s="79" t="s">
        <v>32</v>
      </c>
      <c r="Y49" s="34" t="s">
        <v>35</v>
      </c>
      <c r="Z49" s="34" t="s">
        <v>35</v>
      </c>
      <c r="AA49" s="36" t="s">
        <v>35</v>
      </c>
      <c r="AB49" s="31" t="s">
        <v>26</v>
      </c>
      <c r="AC49" s="34" t="s">
        <v>35</v>
      </c>
      <c r="AD49" s="34" t="s">
        <v>35</v>
      </c>
      <c r="AE49" s="36"/>
      <c r="AF49" s="12">
        <v>2492</v>
      </c>
      <c r="AG49" s="34" t="s">
        <v>35</v>
      </c>
      <c r="AH49" s="34" t="s">
        <v>35</v>
      </c>
      <c r="AI49" s="36"/>
      <c r="AJ49" s="31" t="s">
        <v>26</v>
      </c>
      <c r="AK49" s="34" t="s">
        <v>35</v>
      </c>
      <c r="AL49" s="13" t="s">
        <v>35</v>
      </c>
      <c r="AM49" s="14"/>
      <c r="AN49" s="31" t="s">
        <v>26</v>
      </c>
      <c r="AO49" s="34" t="s">
        <v>35</v>
      </c>
      <c r="AP49" s="13" t="s">
        <v>35</v>
      </c>
      <c r="AQ49" s="14"/>
      <c r="AR49" s="31" t="s">
        <v>26</v>
      </c>
      <c r="AS49" s="34" t="s">
        <v>35</v>
      </c>
      <c r="AT49" s="34" t="s">
        <v>35</v>
      </c>
      <c r="AU49" s="14"/>
      <c r="AV49" s="79" t="s">
        <v>32</v>
      </c>
      <c r="AW49" s="34" t="s">
        <v>35</v>
      </c>
      <c r="AX49" s="34" t="s">
        <v>35</v>
      </c>
      <c r="AY49" s="36" t="s">
        <v>35</v>
      </c>
      <c r="AZ49" s="43"/>
      <c r="BA49" s="43"/>
      <c r="BB49" s="12" t="str">
        <f>D49</f>
        <v>2FF6</v>
      </c>
      <c r="BC49" s="13" t="str">
        <f>H49</f>
        <v>2FF6</v>
      </c>
      <c r="BD49" s="13" t="str">
        <f>L49</f>
        <v>2FF6</v>
      </c>
      <c r="BE49" s="3" t="str">
        <f>P49</f>
        <v>2FF6</v>
      </c>
      <c r="BF49" s="3">
        <f>T49</f>
        <v>2492</v>
      </c>
      <c r="BG49" s="3" t="str">
        <f>X49</f>
        <v>06BE</v>
      </c>
      <c r="BH49" s="3" t="str">
        <f>AB49</f>
        <v>2FF6</v>
      </c>
      <c r="BI49" s="3">
        <f>AF49</f>
        <v>2492</v>
      </c>
      <c r="BJ49" s="3" t="str">
        <f>AJ49</f>
        <v>2FF6</v>
      </c>
      <c r="BK49" s="3" t="str">
        <f>AN49</f>
        <v>2FF6</v>
      </c>
      <c r="BL49" s="3" t="str">
        <f>AR49</f>
        <v>2FF6</v>
      </c>
      <c r="BM49" s="4" t="str">
        <f>AV49</f>
        <v>06BE</v>
      </c>
      <c r="CC49" s="97" t="s">
        <v>47</v>
      </c>
      <c r="CD49" s="159">
        <f>COUNTIF($BB$80:$BM$116,CC49)</f>
        <v>3</v>
      </c>
      <c r="CE49" s="176">
        <f>CD49/$CG$4</f>
        <v>0.25</v>
      </c>
      <c r="CF49" s="13">
        <v>20</v>
      </c>
      <c r="CG49" s="159" t="str">
        <f t="shared" si="3"/>
        <v/>
      </c>
    </row>
    <row r="50" spans="1:85" x14ac:dyDescent="0.25">
      <c r="A50" s="25" t="s">
        <v>31</v>
      </c>
      <c r="B50" s="25" t="s">
        <v>86</v>
      </c>
      <c r="C50" s="110">
        <f t="shared" si="6"/>
        <v>0</v>
      </c>
      <c r="D50" s="8">
        <v>2492</v>
      </c>
      <c r="E50" s="39" t="s">
        <v>35</v>
      </c>
      <c r="F50" s="39" t="s">
        <v>35</v>
      </c>
      <c r="G50" s="39"/>
      <c r="H50" s="8">
        <v>2492</v>
      </c>
      <c r="I50" s="39" t="s">
        <v>35</v>
      </c>
      <c r="J50" s="39" t="s">
        <v>35</v>
      </c>
      <c r="K50" s="40"/>
      <c r="L50" s="8">
        <v>2492</v>
      </c>
      <c r="M50" s="39" t="s">
        <v>35</v>
      </c>
      <c r="N50" s="39" t="s">
        <v>35</v>
      </c>
      <c r="O50" s="40"/>
      <c r="P50" s="8">
        <v>2492</v>
      </c>
      <c r="Q50" s="39" t="s">
        <v>35</v>
      </c>
      <c r="R50" s="39" t="s">
        <v>35</v>
      </c>
      <c r="S50" s="40"/>
      <c r="T50" s="79" t="s">
        <v>32</v>
      </c>
      <c r="U50" s="34" t="s">
        <v>35</v>
      </c>
      <c r="V50" s="34" t="s">
        <v>35</v>
      </c>
      <c r="W50" s="36" t="s">
        <v>35</v>
      </c>
      <c r="X50" s="32" t="s">
        <v>29</v>
      </c>
      <c r="Y50" s="34" t="s">
        <v>35</v>
      </c>
      <c r="Z50" s="34" t="s">
        <v>35</v>
      </c>
      <c r="AA50" s="36" t="s">
        <v>35</v>
      </c>
      <c r="AB50" s="35">
        <v>2492</v>
      </c>
      <c r="AC50" s="34" t="s">
        <v>35</v>
      </c>
      <c r="AD50" s="34" t="s">
        <v>35</v>
      </c>
      <c r="AE50" s="36"/>
      <c r="AF50" s="79" t="s">
        <v>32</v>
      </c>
      <c r="AG50" s="34" t="s">
        <v>35</v>
      </c>
      <c r="AH50" s="34" t="s">
        <v>35</v>
      </c>
      <c r="AI50" s="36" t="s">
        <v>35</v>
      </c>
      <c r="AJ50" s="79" t="s">
        <v>32</v>
      </c>
      <c r="AK50" s="34" t="s">
        <v>35</v>
      </c>
      <c r="AL50" s="13" t="s">
        <v>35</v>
      </c>
      <c r="AM50" s="14" t="s">
        <v>35</v>
      </c>
      <c r="AN50" s="79" t="s">
        <v>32</v>
      </c>
      <c r="AO50" s="34" t="s">
        <v>35</v>
      </c>
      <c r="AP50" s="13" t="s">
        <v>35</v>
      </c>
      <c r="AQ50" s="14" t="s">
        <v>35</v>
      </c>
      <c r="AR50" s="79" t="s">
        <v>32</v>
      </c>
      <c r="AS50" s="34" t="s">
        <v>35</v>
      </c>
      <c r="AT50" s="34" t="s">
        <v>35</v>
      </c>
      <c r="AU50" s="36" t="s">
        <v>35</v>
      </c>
      <c r="AV50" s="32" t="s">
        <v>29</v>
      </c>
      <c r="AW50" s="34" t="s">
        <v>35</v>
      </c>
      <c r="AX50" s="34" t="s">
        <v>35</v>
      </c>
      <c r="AY50" s="36" t="s">
        <v>35</v>
      </c>
      <c r="AZ50" s="43"/>
      <c r="BA50" s="43"/>
      <c r="BB50" s="12">
        <f>D50</f>
        <v>2492</v>
      </c>
      <c r="BC50" s="13">
        <f>H50</f>
        <v>2492</v>
      </c>
      <c r="BD50" s="13">
        <f>L50</f>
        <v>2492</v>
      </c>
      <c r="BE50" s="3">
        <f>P50</f>
        <v>2492</v>
      </c>
      <c r="BF50" s="3" t="str">
        <f>T50</f>
        <v>06BE</v>
      </c>
      <c r="BG50" s="3" t="str">
        <f>X50</f>
        <v>F1AE</v>
      </c>
      <c r="BH50" s="3">
        <f>AB50</f>
        <v>2492</v>
      </c>
      <c r="BI50" s="3" t="str">
        <f>AF50</f>
        <v>06BE</v>
      </c>
      <c r="BJ50" s="3" t="str">
        <f>AJ50</f>
        <v>06BE</v>
      </c>
      <c r="BK50" s="3" t="str">
        <f>AN50</f>
        <v>06BE</v>
      </c>
      <c r="BL50" s="3" t="str">
        <f>AR50</f>
        <v>06BE</v>
      </c>
      <c r="BM50" s="4" t="str">
        <f>AV50</f>
        <v>F1AE</v>
      </c>
      <c r="CC50" s="181" t="s">
        <v>29</v>
      </c>
      <c r="CD50" s="159">
        <f>COUNTIF($BB$80:$BM$116,CC50)</f>
        <v>12</v>
      </c>
      <c r="CE50" s="176">
        <f>CD50/$CG$4</f>
        <v>1</v>
      </c>
      <c r="CF50" s="13">
        <v>6</v>
      </c>
      <c r="CG50" s="159" t="str">
        <f t="shared" si="3"/>
        <v>F1AE</v>
      </c>
    </row>
    <row r="51" spans="1:85" x14ac:dyDescent="0.25">
      <c r="A51" s="99" t="s">
        <v>32</v>
      </c>
      <c r="B51" s="99" t="s">
        <v>87</v>
      </c>
      <c r="C51" s="118">
        <f t="shared" si="6"/>
        <v>12</v>
      </c>
      <c r="D51" s="78" t="s">
        <v>32</v>
      </c>
      <c r="E51" s="39" t="s">
        <v>35</v>
      </c>
      <c r="F51" s="39" t="s">
        <v>35</v>
      </c>
      <c r="G51" s="39" t="s">
        <v>35</v>
      </c>
      <c r="H51" s="78" t="s">
        <v>32</v>
      </c>
      <c r="I51" s="39" t="s">
        <v>35</v>
      </c>
      <c r="J51" s="39" t="s">
        <v>35</v>
      </c>
      <c r="K51" s="40" t="s">
        <v>35</v>
      </c>
      <c r="L51" s="78" t="s">
        <v>32</v>
      </c>
      <c r="M51" s="39" t="s">
        <v>35</v>
      </c>
      <c r="N51" s="39" t="s">
        <v>35</v>
      </c>
      <c r="O51" s="40" t="s">
        <v>35</v>
      </c>
      <c r="P51" s="78" t="s">
        <v>32</v>
      </c>
      <c r="Q51" s="39" t="s">
        <v>35</v>
      </c>
      <c r="R51" s="39" t="s">
        <v>35</v>
      </c>
      <c r="S51" s="40" t="s">
        <v>35</v>
      </c>
      <c r="T51" s="32" t="s">
        <v>29</v>
      </c>
      <c r="U51" s="34" t="s">
        <v>35</v>
      </c>
      <c r="V51" s="34" t="s">
        <v>35</v>
      </c>
      <c r="W51" s="36" t="s">
        <v>35</v>
      </c>
      <c r="X51" s="35" t="s">
        <v>40</v>
      </c>
      <c r="Y51" s="34" t="s">
        <v>35</v>
      </c>
      <c r="Z51" s="34" t="s">
        <v>35</v>
      </c>
      <c r="AA51" s="36"/>
      <c r="AB51" s="79" t="s">
        <v>32</v>
      </c>
      <c r="AC51" s="34" t="s">
        <v>35</v>
      </c>
      <c r="AD51" s="34" t="s">
        <v>35</v>
      </c>
      <c r="AE51" s="36" t="s">
        <v>35</v>
      </c>
      <c r="AF51" s="32" t="s">
        <v>29</v>
      </c>
      <c r="AG51" s="34" t="s">
        <v>35</v>
      </c>
      <c r="AH51" s="34" t="s">
        <v>35</v>
      </c>
      <c r="AI51" s="36" t="s">
        <v>35</v>
      </c>
      <c r="AJ51" s="32" t="s">
        <v>29</v>
      </c>
      <c r="AK51" s="34" t="s">
        <v>35</v>
      </c>
      <c r="AL51" s="13" t="s">
        <v>35</v>
      </c>
      <c r="AM51" s="14" t="s">
        <v>35</v>
      </c>
      <c r="AN51" s="32" t="s">
        <v>29</v>
      </c>
      <c r="AO51" s="34" t="s">
        <v>35</v>
      </c>
      <c r="AP51" s="13" t="s">
        <v>35</v>
      </c>
      <c r="AQ51" s="14" t="s">
        <v>35</v>
      </c>
      <c r="AR51" s="32" t="s">
        <v>29</v>
      </c>
      <c r="AS51" s="34" t="s">
        <v>35</v>
      </c>
      <c r="AT51" s="34" t="s">
        <v>35</v>
      </c>
      <c r="AU51" s="36" t="s">
        <v>35</v>
      </c>
      <c r="AV51" s="35" t="s">
        <v>40</v>
      </c>
      <c r="AW51" s="34" t="s">
        <v>35</v>
      </c>
      <c r="AX51" s="34" t="s">
        <v>35</v>
      </c>
      <c r="AY51" s="36"/>
      <c r="AZ51" s="43"/>
      <c r="BA51" s="43"/>
      <c r="BB51" s="12" t="str">
        <f>D51</f>
        <v>06BE</v>
      </c>
      <c r="BC51" s="13" t="str">
        <f>H51</f>
        <v>06BE</v>
      </c>
      <c r="BD51" s="13" t="str">
        <f>L51</f>
        <v>06BE</v>
      </c>
      <c r="BE51" s="3" t="str">
        <f>P51</f>
        <v>06BE</v>
      </c>
      <c r="BF51" s="3" t="str">
        <f>T51</f>
        <v>F1AE</v>
      </c>
      <c r="BG51" s="3" t="str">
        <f>X51</f>
        <v>2E9A</v>
      </c>
      <c r="BH51" s="3" t="str">
        <f>AB51</f>
        <v>06BE</v>
      </c>
      <c r="BI51" s="3" t="str">
        <f>AF51</f>
        <v>F1AE</v>
      </c>
      <c r="BJ51" s="3" t="str">
        <f>AJ51</f>
        <v>F1AE</v>
      </c>
      <c r="BK51" s="3" t="str">
        <f>AN51</f>
        <v>F1AE</v>
      </c>
      <c r="BL51" s="3" t="str">
        <f>AR51</f>
        <v>F1AE</v>
      </c>
      <c r="BM51" s="4" t="str">
        <f>AV51</f>
        <v>2E9A</v>
      </c>
      <c r="CC51" s="98" t="s">
        <v>46</v>
      </c>
      <c r="CD51" s="160">
        <f>COUNTIF($BB$80:$BM$116,CC51)</f>
        <v>4</v>
      </c>
      <c r="CE51" s="177">
        <f>CD51/$CG$4</f>
        <v>0.33333333333333331</v>
      </c>
      <c r="CF51" s="152">
        <v>47</v>
      </c>
      <c r="CG51" s="160" t="str">
        <f t="shared" si="3"/>
        <v/>
      </c>
    </row>
    <row r="52" spans="1:85" x14ac:dyDescent="0.25">
      <c r="A52" s="100" t="s">
        <v>75</v>
      </c>
      <c r="B52" s="100" t="s">
        <v>88</v>
      </c>
      <c r="C52" s="110">
        <f t="shared" si="6"/>
        <v>0</v>
      </c>
      <c r="D52" s="41" t="s">
        <v>29</v>
      </c>
      <c r="E52" s="39" t="s">
        <v>35</v>
      </c>
      <c r="F52" s="39" t="s">
        <v>35</v>
      </c>
      <c r="G52" s="39" t="s">
        <v>35</v>
      </c>
      <c r="H52" s="41" t="s">
        <v>29</v>
      </c>
      <c r="I52" s="39" t="s">
        <v>35</v>
      </c>
      <c r="J52" s="39" t="s">
        <v>35</v>
      </c>
      <c r="K52" s="40" t="s">
        <v>35</v>
      </c>
      <c r="L52" s="41" t="s">
        <v>29</v>
      </c>
      <c r="M52" s="39" t="s">
        <v>35</v>
      </c>
      <c r="N52" s="39" t="s">
        <v>35</v>
      </c>
      <c r="O52" s="40" t="s">
        <v>35</v>
      </c>
      <c r="P52" s="41" t="s">
        <v>29</v>
      </c>
      <c r="Q52" s="39" t="s">
        <v>35</v>
      </c>
      <c r="R52" s="39" t="s">
        <v>35</v>
      </c>
      <c r="S52" s="40" t="s">
        <v>35</v>
      </c>
      <c r="T52" s="35" t="s">
        <v>40</v>
      </c>
      <c r="U52" s="34" t="s">
        <v>35</v>
      </c>
      <c r="V52" s="34" t="s">
        <v>35</v>
      </c>
      <c r="W52" s="36"/>
      <c r="X52" s="35" t="s">
        <v>41</v>
      </c>
      <c r="Y52" s="34" t="s">
        <v>35</v>
      </c>
      <c r="Z52" s="34" t="s">
        <v>35</v>
      </c>
      <c r="AA52" s="36"/>
      <c r="AB52" s="32" t="s">
        <v>29</v>
      </c>
      <c r="AC52" s="34" t="s">
        <v>35</v>
      </c>
      <c r="AD52" s="34" t="s">
        <v>35</v>
      </c>
      <c r="AE52" s="36" t="s">
        <v>35</v>
      </c>
      <c r="AF52" s="12" t="s">
        <v>40</v>
      </c>
      <c r="AG52" s="34" t="s">
        <v>35</v>
      </c>
      <c r="AH52" s="34" t="s">
        <v>35</v>
      </c>
      <c r="AI52" s="36"/>
      <c r="AJ52" s="35" t="s">
        <v>40</v>
      </c>
      <c r="AK52" s="34" t="s">
        <v>35</v>
      </c>
      <c r="AL52" s="13" t="s">
        <v>35</v>
      </c>
      <c r="AM52" s="14"/>
      <c r="AN52" s="35" t="s">
        <v>40</v>
      </c>
      <c r="AO52" s="34" t="s">
        <v>35</v>
      </c>
      <c r="AP52" s="13" t="s">
        <v>35</v>
      </c>
      <c r="AQ52" s="14"/>
      <c r="AR52" s="35" t="s">
        <v>40</v>
      </c>
      <c r="AS52" s="34" t="s">
        <v>35</v>
      </c>
      <c r="AT52" s="34" t="s">
        <v>35</v>
      </c>
      <c r="AU52" s="14"/>
      <c r="AV52" s="35" t="s">
        <v>45</v>
      </c>
      <c r="AW52" s="34" t="s">
        <v>35</v>
      </c>
      <c r="AX52" s="34" t="s">
        <v>35</v>
      </c>
      <c r="AY52" s="36"/>
      <c r="AZ52" s="43"/>
      <c r="BA52" s="43"/>
      <c r="BB52" s="12" t="str">
        <f>D52</f>
        <v>F1AE</v>
      </c>
      <c r="BC52" s="13" t="str">
        <f>H52</f>
        <v>F1AE</v>
      </c>
      <c r="BD52" s="13" t="str">
        <f>L52</f>
        <v>F1AE</v>
      </c>
      <c r="BE52" s="3" t="str">
        <f>P52</f>
        <v>F1AE</v>
      </c>
      <c r="BF52" s="3" t="str">
        <f>T52</f>
        <v>2E9A</v>
      </c>
      <c r="BG52" s="3" t="str">
        <f>X52</f>
        <v>1EE6</v>
      </c>
      <c r="BH52" s="3" t="str">
        <f>AB52</f>
        <v>F1AE</v>
      </c>
      <c r="BI52" s="3" t="str">
        <f>AF52</f>
        <v>2E9A</v>
      </c>
      <c r="BJ52" s="3" t="str">
        <f>AJ52</f>
        <v>2E9A</v>
      </c>
      <c r="BK52" s="3" t="str">
        <f>AN52</f>
        <v>2E9A</v>
      </c>
      <c r="BL52" s="3" t="str">
        <f>AR52</f>
        <v>2E9A</v>
      </c>
      <c r="BM52" s="4" t="str">
        <f>AV52</f>
        <v>2B42</v>
      </c>
    </row>
    <row r="53" spans="1:85" x14ac:dyDescent="0.25">
      <c r="A53" s="101" t="s">
        <v>76</v>
      </c>
      <c r="B53" s="101" t="s">
        <v>89</v>
      </c>
      <c r="C53" s="110">
        <f t="shared" si="6"/>
        <v>0</v>
      </c>
      <c r="D53" s="8" t="s">
        <v>39</v>
      </c>
      <c r="E53" s="39" t="s">
        <v>35</v>
      </c>
      <c r="F53" s="39" t="s">
        <v>35</v>
      </c>
      <c r="G53" s="39"/>
      <c r="H53" s="8" t="s">
        <v>39</v>
      </c>
      <c r="I53" s="39" t="s">
        <v>35</v>
      </c>
      <c r="J53" s="39" t="s">
        <v>35</v>
      </c>
      <c r="K53" s="40"/>
      <c r="L53" s="8" t="s">
        <v>40</v>
      </c>
      <c r="M53" s="39" t="s">
        <v>35</v>
      </c>
      <c r="N53" s="39" t="s">
        <v>35</v>
      </c>
      <c r="O53" s="40"/>
      <c r="P53" s="8" t="s">
        <v>40</v>
      </c>
      <c r="Q53" s="39" t="s">
        <v>35</v>
      </c>
      <c r="R53" s="39" t="s">
        <v>35</v>
      </c>
      <c r="S53" s="40"/>
      <c r="T53" s="35" t="s">
        <v>41</v>
      </c>
      <c r="U53" s="34" t="s">
        <v>35</v>
      </c>
      <c r="V53" s="34" t="s">
        <v>35</v>
      </c>
      <c r="W53" s="36"/>
      <c r="X53" s="35" t="s">
        <v>43</v>
      </c>
      <c r="Y53" s="34" t="s">
        <v>35</v>
      </c>
      <c r="Z53" s="34" t="s">
        <v>35</v>
      </c>
      <c r="AA53" s="36"/>
      <c r="AB53" s="35" t="s">
        <v>40</v>
      </c>
      <c r="AC53" s="34" t="s">
        <v>35</v>
      </c>
      <c r="AD53" s="34" t="s">
        <v>35</v>
      </c>
      <c r="AE53" s="36"/>
      <c r="AF53" s="12" t="s">
        <v>41</v>
      </c>
      <c r="AG53" s="34" t="s">
        <v>35</v>
      </c>
      <c r="AH53" s="34" t="s">
        <v>35</v>
      </c>
      <c r="AI53" s="36"/>
      <c r="AJ53" s="35" t="s">
        <v>41</v>
      </c>
      <c r="AK53" s="34" t="s">
        <v>35</v>
      </c>
      <c r="AL53" s="13" t="s">
        <v>35</v>
      </c>
      <c r="AM53" s="14"/>
      <c r="AN53" s="35" t="s">
        <v>41</v>
      </c>
      <c r="AO53" s="34" t="s">
        <v>35</v>
      </c>
      <c r="AP53" s="13" t="s">
        <v>35</v>
      </c>
      <c r="AQ53" s="14"/>
      <c r="AR53" s="35" t="s">
        <v>45</v>
      </c>
      <c r="AS53" s="34" t="s">
        <v>35</v>
      </c>
      <c r="AT53" s="34" t="s">
        <v>35</v>
      </c>
      <c r="AU53" s="14"/>
      <c r="AV53" s="35" t="s">
        <v>49</v>
      </c>
      <c r="AW53" s="34" t="s">
        <v>35</v>
      </c>
      <c r="AX53" s="34" t="s">
        <v>35</v>
      </c>
      <c r="AY53" s="36"/>
      <c r="AZ53" s="43"/>
      <c r="BA53" s="43"/>
      <c r="BB53" s="12" t="str">
        <f>D53</f>
        <v>EA06</v>
      </c>
      <c r="BC53" s="13" t="str">
        <f>H53</f>
        <v>EA06</v>
      </c>
      <c r="BD53" s="13" t="str">
        <f>L53</f>
        <v>2E9A</v>
      </c>
      <c r="BE53" s="3" t="str">
        <f>P53</f>
        <v>2E9A</v>
      </c>
      <c r="BF53" s="3" t="str">
        <f>T53</f>
        <v>1EE6</v>
      </c>
      <c r="BG53" s="3" t="str">
        <f>X53</f>
        <v>1A1E</v>
      </c>
      <c r="BH53" s="3" t="str">
        <f>AB53</f>
        <v>2E9A</v>
      </c>
      <c r="BI53" s="3" t="str">
        <f>AF53</f>
        <v>1EE6</v>
      </c>
      <c r="BJ53" s="3" t="str">
        <f>AJ53</f>
        <v>1EE6</v>
      </c>
      <c r="BK53" s="3" t="str">
        <f>AN53</f>
        <v>1EE6</v>
      </c>
      <c r="BL53" s="3" t="str">
        <f>AR53</f>
        <v>2B42</v>
      </c>
      <c r="BM53" s="4" t="str">
        <f>AV53</f>
        <v>4B1A</v>
      </c>
    </row>
    <row r="54" spans="1:85" x14ac:dyDescent="0.25">
      <c r="A54" s="102" t="s">
        <v>77</v>
      </c>
      <c r="B54" s="102" t="s">
        <v>90</v>
      </c>
      <c r="C54" s="110">
        <f t="shared" si="6"/>
        <v>0</v>
      </c>
      <c r="D54" s="8" t="s">
        <v>40</v>
      </c>
      <c r="E54" s="39" t="s">
        <v>35</v>
      </c>
      <c r="F54" s="39" t="s">
        <v>35</v>
      </c>
      <c r="G54" s="39"/>
      <c r="H54" s="8" t="s">
        <v>40</v>
      </c>
      <c r="I54" s="39" t="s">
        <v>35</v>
      </c>
      <c r="J54" s="39" t="s">
        <v>35</v>
      </c>
      <c r="K54" s="40"/>
      <c r="L54" s="8" t="s">
        <v>41</v>
      </c>
      <c r="M54" s="39" t="s">
        <v>35</v>
      </c>
      <c r="N54" s="39" t="s">
        <v>35</v>
      </c>
      <c r="O54" s="40"/>
      <c r="P54" s="8" t="s">
        <v>41</v>
      </c>
      <c r="Q54" s="39" t="s">
        <v>35</v>
      </c>
      <c r="R54" s="39" t="s">
        <v>35</v>
      </c>
      <c r="S54" s="40"/>
      <c r="T54" s="35" t="s">
        <v>42</v>
      </c>
      <c r="U54" s="34" t="s">
        <v>35</v>
      </c>
      <c r="V54" s="34" t="s">
        <v>35</v>
      </c>
      <c r="W54" s="36"/>
      <c r="X54" s="35">
        <v>1282</v>
      </c>
      <c r="Y54" s="34" t="s">
        <v>35</v>
      </c>
      <c r="Z54" s="34" t="s">
        <v>35</v>
      </c>
      <c r="AA54" s="36"/>
      <c r="AB54" s="35" t="s">
        <v>41</v>
      </c>
      <c r="AC54" s="34" t="s">
        <v>35</v>
      </c>
      <c r="AD54" s="34" t="s">
        <v>35</v>
      </c>
      <c r="AE54" s="36"/>
      <c r="AF54" s="12">
        <v>2822</v>
      </c>
      <c r="AG54" s="34" t="s">
        <v>35</v>
      </c>
      <c r="AH54" s="34" t="s">
        <v>35</v>
      </c>
      <c r="AI54" s="36"/>
      <c r="AJ54" s="35">
        <v>2822</v>
      </c>
      <c r="AK54" s="34" t="s">
        <v>35</v>
      </c>
      <c r="AL54" s="13" t="s">
        <v>35</v>
      </c>
      <c r="AM54" s="14"/>
      <c r="AN54" s="35" t="s">
        <v>45</v>
      </c>
      <c r="AO54" s="34" t="s">
        <v>35</v>
      </c>
      <c r="AP54" s="13" t="s">
        <v>35</v>
      </c>
      <c r="AQ54" s="14"/>
      <c r="AR54" s="35" t="s">
        <v>49</v>
      </c>
      <c r="AS54" s="34" t="s">
        <v>35</v>
      </c>
      <c r="AT54" s="34" t="s">
        <v>35</v>
      </c>
      <c r="AU54" s="14"/>
      <c r="AV54" s="35" t="s">
        <v>50</v>
      </c>
      <c r="AW54" s="34" t="s">
        <v>35</v>
      </c>
      <c r="AX54" s="34" t="s">
        <v>35</v>
      </c>
      <c r="AY54" s="36"/>
      <c r="AZ54" s="43"/>
      <c r="BA54" s="43"/>
      <c r="BB54" s="12" t="str">
        <f>D54</f>
        <v>2E9A</v>
      </c>
      <c r="BC54" s="13" t="str">
        <f>H54</f>
        <v>2E9A</v>
      </c>
      <c r="BD54" s="13" t="str">
        <f>L54</f>
        <v>1EE6</v>
      </c>
      <c r="BE54" s="3" t="str">
        <f>P54</f>
        <v>1EE6</v>
      </c>
      <c r="BF54" s="3" t="str">
        <f>T54</f>
        <v>333E</v>
      </c>
      <c r="BG54" s="3">
        <f>X54</f>
        <v>1282</v>
      </c>
      <c r="BH54" s="3" t="str">
        <f>AB54</f>
        <v>1EE6</v>
      </c>
      <c r="BI54" s="3">
        <f>AF54</f>
        <v>2822</v>
      </c>
      <c r="BJ54" s="3">
        <f>AJ54</f>
        <v>2822</v>
      </c>
      <c r="BK54" s="3" t="str">
        <f>AN54</f>
        <v>2B42</v>
      </c>
      <c r="BL54" s="3" t="str">
        <f>AR54</f>
        <v>4B1A</v>
      </c>
      <c r="BM54" s="4" t="str">
        <f>AV54</f>
        <v>25CE</v>
      </c>
    </row>
    <row r="55" spans="1:85" x14ac:dyDescent="0.25">
      <c r="A55" s="103" t="s">
        <v>65</v>
      </c>
      <c r="B55" s="103" t="s">
        <v>91</v>
      </c>
      <c r="C55" s="110">
        <f t="shared" si="6"/>
        <v>0</v>
      </c>
      <c r="D55" s="8">
        <v>2852</v>
      </c>
      <c r="E55" s="39" t="s">
        <v>35</v>
      </c>
      <c r="F55" s="39" t="s">
        <v>35</v>
      </c>
      <c r="G55" s="39"/>
      <c r="H55" s="8">
        <v>2852</v>
      </c>
      <c r="I55" s="39" t="s">
        <v>35</v>
      </c>
      <c r="J55" s="39" t="s">
        <v>35</v>
      </c>
      <c r="K55" s="40"/>
      <c r="L55" s="8">
        <v>2852</v>
      </c>
      <c r="M55" s="39" t="s">
        <v>35</v>
      </c>
      <c r="N55" s="39" t="s">
        <v>35</v>
      </c>
      <c r="O55" s="40"/>
      <c r="P55" s="8">
        <v>2852</v>
      </c>
      <c r="Q55" s="39" t="s">
        <v>35</v>
      </c>
      <c r="R55" s="39" t="s">
        <v>35</v>
      </c>
      <c r="S55" s="40"/>
      <c r="T55" s="35" t="s">
        <v>43</v>
      </c>
      <c r="U55" s="34" t="s">
        <v>35</v>
      </c>
      <c r="V55" s="34" t="s">
        <v>35</v>
      </c>
      <c r="W55" s="36"/>
      <c r="X55" s="35">
        <v>2822</v>
      </c>
      <c r="Y55" s="34" t="s">
        <v>35</v>
      </c>
      <c r="Z55" s="34" t="s">
        <v>35</v>
      </c>
      <c r="AA55" s="36"/>
      <c r="AB55" s="35">
        <v>1282</v>
      </c>
      <c r="AC55" s="34" t="s">
        <v>35</v>
      </c>
      <c r="AD55" s="34" t="s">
        <v>35</v>
      </c>
      <c r="AE55" s="36"/>
      <c r="AF55" s="12" t="s">
        <v>45</v>
      </c>
      <c r="AG55" s="34" t="s">
        <v>35</v>
      </c>
      <c r="AH55" s="34" t="s">
        <v>35</v>
      </c>
      <c r="AI55" s="36"/>
      <c r="AJ55" s="35" t="s">
        <v>45</v>
      </c>
      <c r="AK55" s="34" t="s">
        <v>35</v>
      </c>
      <c r="AL55" s="13" t="s">
        <v>35</v>
      </c>
      <c r="AM55" s="14"/>
      <c r="AN55" s="35" t="s">
        <v>49</v>
      </c>
      <c r="AO55" s="34" t="s">
        <v>35</v>
      </c>
      <c r="AP55" s="13" t="s">
        <v>35</v>
      </c>
      <c r="AQ55" s="14"/>
      <c r="AR55" s="35" t="s">
        <v>50</v>
      </c>
      <c r="AS55" s="34" t="s">
        <v>35</v>
      </c>
      <c r="AT55" s="34" t="s">
        <v>35</v>
      </c>
      <c r="AU55" s="14"/>
      <c r="AV55" s="37" t="s">
        <v>30</v>
      </c>
      <c r="AW55" s="34" t="s">
        <v>35</v>
      </c>
      <c r="AX55" s="34" t="s">
        <v>35</v>
      </c>
      <c r="AY55" s="36"/>
      <c r="AZ55" s="43"/>
      <c r="BA55" s="43"/>
      <c r="BB55" s="12">
        <f>D55</f>
        <v>2852</v>
      </c>
      <c r="BC55" s="13">
        <f>H55</f>
        <v>2852</v>
      </c>
      <c r="BD55" s="13">
        <f>L55</f>
        <v>2852</v>
      </c>
      <c r="BE55" s="3">
        <f>P55</f>
        <v>2852</v>
      </c>
      <c r="BF55" s="3" t="str">
        <f>T55</f>
        <v>1A1E</v>
      </c>
      <c r="BG55" s="3">
        <f>X55</f>
        <v>2822</v>
      </c>
      <c r="BH55" s="3">
        <f>AB55</f>
        <v>1282</v>
      </c>
      <c r="BI55" s="3" t="str">
        <f>AF55</f>
        <v>2B42</v>
      </c>
      <c r="BJ55" s="3" t="str">
        <f>AJ55</f>
        <v>2B42</v>
      </c>
      <c r="BK55" s="3" t="str">
        <f>AN55</f>
        <v>4B1A</v>
      </c>
      <c r="BL55" s="3" t="str">
        <f>AR55</f>
        <v>25CE</v>
      </c>
      <c r="BM55" s="4" t="str">
        <f>AV55</f>
        <v>307A</v>
      </c>
    </row>
    <row r="56" spans="1:85" x14ac:dyDescent="0.25">
      <c r="A56" s="104" t="s">
        <v>68</v>
      </c>
      <c r="B56" s="104" t="s">
        <v>92</v>
      </c>
      <c r="C56" s="110">
        <f t="shared" si="6"/>
        <v>0</v>
      </c>
      <c r="D56" s="8">
        <v>3842</v>
      </c>
      <c r="E56" s="39"/>
      <c r="F56" s="39"/>
      <c r="G56" s="39"/>
      <c r="H56" s="35" t="s">
        <v>42</v>
      </c>
      <c r="I56" s="39" t="s">
        <v>35</v>
      </c>
      <c r="J56" s="39" t="s">
        <v>35</v>
      </c>
      <c r="K56" s="40"/>
      <c r="L56" s="8" t="s">
        <v>42</v>
      </c>
      <c r="M56" s="39" t="s">
        <v>35</v>
      </c>
      <c r="N56" s="39" t="s">
        <v>35</v>
      </c>
      <c r="O56" s="40"/>
      <c r="P56" s="8" t="s">
        <v>43</v>
      </c>
      <c r="Q56" s="39" t="s">
        <v>35</v>
      </c>
      <c r="R56" s="39" t="s">
        <v>35</v>
      </c>
      <c r="S56" s="40"/>
      <c r="T56" s="35">
        <v>1282</v>
      </c>
      <c r="U56" s="34" t="s">
        <v>35</v>
      </c>
      <c r="V56" s="34" t="s">
        <v>35</v>
      </c>
      <c r="W56" s="36"/>
      <c r="X56" s="35" t="s">
        <v>45</v>
      </c>
      <c r="Y56" s="34" t="s">
        <v>35</v>
      </c>
      <c r="Z56" s="34" t="s">
        <v>35</v>
      </c>
      <c r="AA56" s="36"/>
      <c r="AB56" s="35">
        <v>2822</v>
      </c>
      <c r="AC56" s="34" t="s">
        <v>35</v>
      </c>
      <c r="AD56" s="34" t="s">
        <v>35</v>
      </c>
      <c r="AE56" s="36"/>
      <c r="AF56" s="12" t="s">
        <v>49</v>
      </c>
      <c r="AG56" s="34" t="s">
        <v>35</v>
      </c>
      <c r="AH56" s="34" t="s">
        <v>35</v>
      </c>
      <c r="AI56" s="36"/>
      <c r="AJ56" s="35" t="s">
        <v>47</v>
      </c>
      <c r="AK56" s="34" t="s">
        <v>35</v>
      </c>
      <c r="AL56" s="13" t="s">
        <v>35</v>
      </c>
      <c r="AM56" s="14"/>
      <c r="AN56" s="35" t="s">
        <v>50</v>
      </c>
      <c r="AO56" s="34" t="s">
        <v>35</v>
      </c>
      <c r="AP56" s="13" t="s">
        <v>35</v>
      </c>
      <c r="AQ56" s="14"/>
      <c r="AR56" s="38">
        <v>1712</v>
      </c>
      <c r="AS56" s="34" t="s">
        <v>35</v>
      </c>
      <c r="AT56" s="34" t="s">
        <v>35</v>
      </c>
      <c r="AU56" s="14"/>
      <c r="AV56" s="35" t="s">
        <v>53</v>
      </c>
      <c r="AW56" s="34" t="s">
        <v>35</v>
      </c>
      <c r="AX56" s="34" t="s">
        <v>35</v>
      </c>
      <c r="AY56" s="36"/>
      <c r="AZ56" s="43"/>
      <c r="BA56" s="43"/>
      <c r="BB56" s="12">
        <f>D56</f>
        <v>3842</v>
      </c>
      <c r="BC56" s="13" t="str">
        <f>H56</f>
        <v>333E</v>
      </c>
      <c r="BD56" s="13" t="str">
        <f>L56</f>
        <v>333E</v>
      </c>
      <c r="BE56" s="3" t="str">
        <f>P56</f>
        <v>1A1E</v>
      </c>
      <c r="BF56" s="3">
        <f>T56</f>
        <v>1282</v>
      </c>
      <c r="BG56" s="3" t="str">
        <f>X56</f>
        <v>2B42</v>
      </c>
      <c r="BH56" s="3">
        <f>AB56</f>
        <v>2822</v>
      </c>
      <c r="BI56" s="3" t="str">
        <f>AF56</f>
        <v>4B1A</v>
      </c>
      <c r="BJ56" s="3" t="str">
        <f>AJ56</f>
        <v>D89A</v>
      </c>
      <c r="BK56" s="3" t="str">
        <f>AN56</f>
        <v>25CE</v>
      </c>
      <c r="BL56" s="3">
        <f>AR56</f>
        <v>1712</v>
      </c>
      <c r="BM56" s="4" t="str">
        <f>AV56</f>
        <v>260A</v>
      </c>
    </row>
    <row r="57" spans="1:85" ht="38.25" customHeight="1" x14ac:dyDescent="0.25">
      <c r="A57" s="111" t="s">
        <v>69</v>
      </c>
      <c r="B57" s="111" t="s">
        <v>93</v>
      </c>
      <c r="C57" s="110">
        <f t="shared" si="6"/>
        <v>0</v>
      </c>
      <c r="D57" s="8" t="s">
        <v>42</v>
      </c>
      <c r="E57" s="39" t="s">
        <v>35</v>
      </c>
      <c r="F57" s="39" t="s">
        <v>35</v>
      </c>
      <c r="G57" s="39"/>
      <c r="H57" s="8" t="s">
        <v>43</v>
      </c>
      <c r="I57" s="39" t="s">
        <v>35</v>
      </c>
      <c r="J57" s="39" t="s">
        <v>35</v>
      </c>
      <c r="K57" s="40"/>
      <c r="L57" s="8" t="s">
        <v>43</v>
      </c>
      <c r="M57" s="39" t="s">
        <v>35</v>
      </c>
      <c r="N57" s="39" t="s">
        <v>35</v>
      </c>
      <c r="O57" s="40"/>
      <c r="P57" s="8">
        <v>1282</v>
      </c>
      <c r="Q57" s="39" t="s">
        <v>35</v>
      </c>
      <c r="R57" s="39" t="s">
        <v>35</v>
      </c>
      <c r="S57" s="40"/>
      <c r="T57" s="35">
        <v>2822</v>
      </c>
      <c r="U57" s="34" t="s">
        <v>35</v>
      </c>
      <c r="V57" s="34" t="s">
        <v>35</v>
      </c>
      <c r="W57" s="36"/>
      <c r="X57" s="35" t="s">
        <v>46</v>
      </c>
      <c r="Y57" s="34" t="s">
        <v>35</v>
      </c>
      <c r="Z57" s="34" t="s">
        <v>35</v>
      </c>
      <c r="AA57" s="36"/>
      <c r="AB57" s="35" t="s">
        <v>45</v>
      </c>
      <c r="AC57" s="34" t="s">
        <v>35</v>
      </c>
      <c r="AD57" s="34" t="s">
        <v>35</v>
      </c>
      <c r="AE57" s="36"/>
      <c r="AF57" s="12" t="s">
        <v>50</v>
      </c>
      <c r="AG57" s="34" t="s">
        <v>35</v>
      </c>
      <c r="AH57" s="34" t="s">
        <v>35</v>
      </c>
      <c r="AI57" s="36"/>
      <c r="AJ57" s="35" t="s">
        <v>49</v>
      </c>
      <c r="AK57" s="34" t="s">
        <v>35</v>
      </c>
      <c r="AL57" s="13" t="s">
        <v>35</v>
      </c>
      <c r="AM57" s="14"/>
      <c r="AN57" s="38">
        <v>1712</v>
      </c>
      <c r="AO57" s="34" t="s">
        <v>35</v>
      </c>
      <c r="AP57" s="13" t="s">
        <v>35</v>
      </c>
      <c r="AQ57" s="14"/>
      <c r="AR57" s="37" t="s">
        <v>30</v>
      </c>
      <c r="AS57" s="34" t="s">
        <v>35</v>
      </c>
      <c r="AT57" s="34" t="s">
        <v>35</v>
      </c>
      <c r="AU57" s="14"/>
      <c r="AV57" s="35" t="s">
        <v>54</v>
      </c>
      <c r="AW57" s="34" t="s">
        <v>35</v>
      </c>
      <c r="AX57" s="34" t="s">
        <v>35</v>
      </c>
      <c r="AY57" s="36"/>
      <c r="AZ57" s="43"/>
      <c r="BA57" s="43"/>
      <c r="BB57" s="12" t="str">
        <f>D57</f>
        <v>333E</v>
      </c>
      <c r="BC57" s="13" t="str">
        <f>H57</f>
        <v>1A1E</v>
      </c>
      <c r="BD57" s="13" t="str">
        <f>L57</f>
        <v>1A1E</v>
      </c>
      <c r="BE57" s="3">
        <f>P57</f>
        <v>1282</v>
      </c>
      <c r="BF57" s="3">
        <f>T57</f>
        <v>2822</v>
      </c>
      <c r="BG57" s="3" t="str">
        <f>X57</f>
        <v>F212</v>
      </c>
      <c r="BH57" s="3" t="str">
        <f>AB57</f>
        <v>2B42</v>
      </c>
      <c r="BI57" s="3" t="str">
        <f>AF57</f>
        <v>25CE</v>
      </c>
      <c r="BJ57" s="3" t="str">
        <f>AJ57</f>
        <v>4B1A</v>
      </c>
      <c r="BK57" s="3">
        <f>AN57</f>
        <v>1712</v>
      </c>
      <c r="BL57" s="3" t="str">
        <f>AR57</f>
        <v>307A</v>
      </c>
      <c r="BM57" s="4" t="str">
        <f>AV57</f>
        <v>422A</v>
      </c>
      <c r="BO57" s="196" t="s">
        <v>114</v>
      </c>
      <c r="BP57" s="96">
        <v>2022</v>
      </c>
      <c r="BQ57" s="108">
        <v>2023</v>
      </c>
      <c r="BR57" s="96">
        <v>2024</v>
      </c>
      <c r="BS57" s="167">
        <v>2025</v>
      </c>
    </row>
    <row r="58" spans="1:85" x14ac:dyDescent="0.25">
      <c r="A58" s="112" t="s">
        <v>79</v>
      </c>
      <c r="B58" s="112" t="s">
        <v>94</v>
      </c>
      <c r="C58" s="110">
        <f t="shared" si="6"/>
        <v>0</v>
      </c>
      <c r="D58" s="8" t="s">
        <v>43</v>
      </c>
      <c r="E58" s="39" t="s">
        <v>35</v>
      </c>
      <c r="F58" s="39"/>
      <c r="G58" s="39"/>
      <c r="H58" s="8">
        <v>2822</v>
      </c>
      <c r="I58" s="39" t="s">
        <v>35</v>
      </c>
      <c r="J58" s="39" t="s">
        <v>35</v>
      </c>
      <c r="K58" s="40"/>
      <c r="L58" s="8">
        <v>1282</v>
      </c>
      <c r="M58" s="39" t="s">
        <v>35</v>
      </c>
      <c r="N58" s="39" t="s">
        <v>35</v>
      </c>
      <c r="O58" s="40"/>
      <c r="P58" s="8" t="s">
        <v>44</v>
      </c>
      <c r="Q58" s="39" t="s">
        <v>35</v>
      </c>
      <c r="R58" s="39" t="s">
        <v>35</v>
      </c>
      <c r="S58" s="40"/>
      <c r="T58" s="35" t="s">
        <v>45</v>
      </c>
      <c r="U58" s="34" t="s">
        <v>35</v>
      </c>
      <c r="V58" s="34" t="s">
        <v>35</v>
      </c>
      <c r="W58" s="36"/>
      <c r="X58" s="35" t="s">
        <v>48</v>
      </c>
      <c r="Y58" s="34" t="s">
        <v>35</v>
      </c>
      <c r="Z58" s="34" t="s">
        <v>35</v>
      </c>
      <c r="AA58" s="36"/>
      <c r="AB58" s="35" t="s">
        <v>49</v>
      </c>
      <c r="AC58" s="34" t="s">
        <v>35</v>
      </c>
      <c r="AD58" s="34" t="s">
        <v>35</v>
      </c>
      <c r="AE58" s="36"/>
      <c r="AF58" s="38">
        <v>1712</v>
      </c>
      <c r="AG58" s="34" t="s">
        <v>35</v>
      </c>
      <c r="AH58" s="34" t="s">
        <v>35</v>
      </c>
      <c r="AI58" s="36"/>
      <c r="AJ58" s="35" t="s">
        <v>50</v>
      </c>
      <c r="AK58" s="34" t="s">
        <v>35</v>
      </c>
      <c r="AL58" s="13" t="s">
        <v>35</v>
      </c>
      <c r="AM58" s="14"/>
      <c r="AN58" s="37" t="s">
        <v>30</v>
      </c>
      <c r="AO58" s="34" t="s">
        <v>35</v>
      </c>
      <c r="AP58" s="13" t="s">
        <v>35</v>
      </c>
      <c r="AQ58" s="14"/>
      <c r="AR58" s="35" t="s">
        <v>53</v>
      </c>
      <c r="AS58" s="13" t="s">
        <v>35</v>
      </c>
      <c r="AT58" s="13" t="s">
        <v>35</v>
      </c>
      <c r="AU58" s="14"/>
      <c r="AV58" s="35" t="s">
        <v>55</v>
      </c>
      <c r="AW58" s="34" t="s">
        <v>35</v>
      </c>
      <c r="AX58" s="34" t="s">
        <v>35</v>
      </c>
      <c r="AY58" s="36"/>
      <c r="AZ58" s="43"/>
      <c r="BA58" s="43"/>
      <c r="BB58" s="12" t="str">
        <f>D58</f>
        <v>1A1E</v>
      </c>
      <c r="BC58" s="13">
        <f>H58</f>
        <v>2822</v>
      </c>
      <c r="BD58" s="13">
        <f>L58</f>
        <v>1282</v>
      </c>
      <c r="BE58" s="3" t="str">
        <f>P58</f>
        <v>375E</v>
      </c>
      <c r="BF58" s="3" t="str">
        <f>T58</f>
        <v>2B42</v>
      </c>
      <c r="BG58" s="3" t="str">
        <f>X58</f>
        <v>65F2</v>
      </c>
      <c r="BH58" s="3" t="str">
        <f>AB58</f>
        <v>4B1A</v>
      </c>
      <c r="BI58" s="3">
        <f>AF58</f>
        <v>1712</v>
      </c>
      <c r="BJ58" s="3" t="str">
        <f>AJ58</f>
        <v>25CE</v>
      </c>
      <c r="BK58" s="3" t="str">
        <f>AN58</f>
        <v>307A</v>
      </c>
      <c r="BL58" s="3" t="str">
        <f>AR58</f>
        <v>260A</v>
      </c>
      <c r="BM58" s="4" t="str">
        <f>AV58</f>
        <v>421A</v>
      </c>
      <c r="BO58" s="158">
        <v>2692</v>
      </c>
      <c r="BP58" s="157" t="str">
        <f>VLOOKUP(BO58,$BO$5:$BS$34,5,FALSE)</f>
        <v/>
      </c>
      <c r="BQ58" s="49" t="e">
        <f>VLOOKUP(BO58,$BV$5:$BZ$46,5,FALSE)</f>
        <v>#N/A</v>
      </c>
      <c r="BR58" s="157" t="e">
        <f>VLOOKUP(BO58,$CC$5:$CG$51,5,FALSE)</f>
        <v>#N/A</v>
      </c>
      <c r="BS58" s="50" t="e">
        <f>VLOOKUP(BO58,$CJ$5:$CN$34,5,FALSE)</f>
        <v>#N/A</v>
      </c>
    </row>
    <row r="59" spans="1:85" x14ac:dyDescent="0.25">
      <c r="D59" s="8">
        <v>1282</v>
      </c>
      <c r="E59" s="39" t="s">
        <v>35</v>
      </c>
      <c r="F59" s="39" t="s">
        <v>35</v>
      </c>
      <c r="G59" s="39"/>
      <c r="H59" s="8" t="s">
        <v>44</v>
      </c>
      <c r="I59" s="39" t="s">
        <v>35</v>
      </c>
      <c r="J59" s="39" t="s">
        <v>35</v>
      </c>
      <c r="K59" s="40"/>
      <c r="L59" s="8" t="s">
        <v>44</v>
      </c>
      <c r="M59" s="39" t="s">
        <v>35</v>
      </c>
      <c r="N59" s="39" t="s">
        <v>35</v>
      </c>
      <c r="O59" s="40"/>
      <c r="P59" s="8" t="s">
        <v>45</v>
      </c>
      <c r="Q59" s="39" t="s">
        <v>35</v>
      </c>
      <c r="R59" s="39" t="s">
        <v>35</v>
      </c>
      <c r="S59" s="40"/>
      <c r="T59" s="35" t="s">
        <v>46</v>
      </c>
      <c r="U59" s="34" t="s">
        <v>35</v>
      </c>
      <c r="V59" s="34" t="s">
        <v>35</v>
      </c>
      <c r="W59" s="36"/>
      <c r="X59" s="35" t="s">
        <v>49</v>
      </c>
      <c r="Y59" s="34" t="s">
        <v>35</v>
      </c>
      <c r="Z59" s="34" t="s">
        <v>35</v>
      </c>
      <c r="AA59" s="36"/>
      <c r="AB59" s="35" t="s">
        <v>50</v>
      </c>
      <c r="AC59" s="34" t="s">
        <v>35</v>
      </c>
      <c r="AD59" s="34" t="s">
        <v>35</v>
      </c>
      <c r="AE59" s="36"/>
      <c r="AF59" s="37" t="s">
        <v>30</v>
      </c>
      <c r="AG59" s="34" t="s">
        <v>35</v>
      </c>
      <c r="AH59" s="34" t="s">
        <v>35</v>
      </c>
      <c r="AI59" s="36"/>
      <c r="AJ59" s="38">
        <v>1712</v>
      </c>
      <c r="AK59" s="34" t="s">
        <v>35</v>
      </c>
      <c r="AL59" s="13" t="s">
        <v>35</v>
      </c>
      <c r="AM59" s="14"/>
      <c r="AN59" s="12" t="s">
        <v>53</v>
      </c>
      <c r="AO59" s="13" t="s">
        <v>35</v>
      </c>
      <c r="AP59" s="13" t="s">
        <v>35</v>
      </c>
      <c r="AQ59" s="14"/>
      <c r="AR59" s="35" t="s">
        <v>54</v>
      </c>
      <c r="AS59" s="34" t="s">
        <v>35</v>
      </c>
      <c r="AT59" s="34" t="s">
        <v>35</v>
      </c>
      <c r="AU59" s="36"/>
      <c r="AV59" s="35" t="s">
        <v>56</v>
      </c>
      <c r="AW59" s="34" t="s">
        <v>35</v>
      </c>
      <c r="AX59" s="34" t="s">
        <v>35</v>
      </c>
      <c r="AY59" s="36"/>
      <c r="AZ59" s="43"/>
      <c r="BA59" s="43"/>
      <c r="BB59" s="12">
        <f>D59</f>
        <v>1282</v>
      </c>
      <c r="BC59" s="13" t="str">
        <f>H59</f>
        <v>375E</v>
      </c>
      <c r="BD59" s="13" t="str">
        <f>L59</f>
        <v>375E</v>
      </c>
      <c r="BE59" s="3" t="str">
        <f>P59</f>
        <v>2B42</v>
      </c>
      <c r="BF59" s="3" t="str">
        <f>T59</f>
        <v>F212</v>
      </c>
      <c r="BG59" s="3" t="str">
        <f>X59</f>
        <v>4B1A</v>
      </c>
      <c r="BH59" s="3" t="str">
        <f>AB59</f>
        <v>25CE</v>
      </c>
      <c r="BI59" s="3" t="str">
        <f>AF59</f>
        <v>307A</v>
      </c>
      <c r="BJ59" s="3">
        <f>AJ59</f>
        <v>1712</v>
      </c>
      <c r="BK59" s="3" t="str">
        <f>AN59</f>
        <v>260A</v>
      </c>
      <c r="BL59" s="3" t="str">
        <f>AR59</f>
        <v>422A</v>
      </c>
      <c r="BM59" s="4" t="str">
        <f>AV59</f>
        <v>3BEA</v>
      </c>
      <c r="BO59" s="159">
        <v>1282</v>
      </c>
      <c r="BP59" s="97" t="str">
        <f t="shared" ref="BP59:BP122" si="7">VLOOKUP(BO59,$BO$5:$BS$34,5,FALSE)</f>
        <v/>
      </c>
      <c r="BQ59" s="3" t="str">
        <f t="shared" ref="BQ59:BQ122" si="8">VLOOKUP(BO59,$BV$5:$BZ$46,5,FALSE)</f>
        <v/>
      </c>
      <c r="BR59" s="97" t="str">
        <f t="shared" ref="BR59:BR122" si="9">VLOOKUP(BO59,$CC$5:$CG$51,5,FALSE)</f>
        <v/>
      </c>
      <c r="BS59" s="4" t="e">
        <f t="shared" ref="BS59:BS122" si="10">VLOOKUP(BO59,$CJ$5:$CN$34,5,FALSE)</f>
        <v>#N/A</v>
      </c>
    </row>
    <row r="60" spans="1:85" x14ac:dyDescent="0.25">
      <c r="D60" s="8">
        <v>2822</v>
      </c>
      <c r="E60" s="39" t="s">
        <v>35</v>
      </c>
      <c r="F60" s="39" t="s">
        <v>35</v>
      </c>
      <c r="G60" s="39"/>
      <c r="H60" s="8" t="s">
        <v>45</v>
      </c>
      <c r="I60" s="39" t="s">
        <v>35</v>
      </c>
      <c r="J60" s="39" t="s">
        <v>35</v>
      </c>
      <c r="K60" s="40"/>
      <c r="L60" s="8" t="s">
        <v>45</v>
      </c>
      <c r="M60" s="39" t="s">
        <v>35</v>
      </c>
      <c r="N60" s="39" t="s">
        <v>35</v>
      </c>
      <c r="O60" s="40"/>
      <c r="P60" s="8" t="s">
        <v>46</v>
      </c>
      <c r="Q60" s="39" t="s">
        <v>35</v>
      </c>
      <c r="R60" s="39" t="s">
        <v>35</v>
      </c>
      <c r="S60" s="40"/>
      <c r="T60" s="35" t="s">
        <v>47</v>
      </c>
      <c r="U60" s="34" t="s">
        <v>35</v>
      </c>
      <c r="V60" s="34" t="s">
        <v>35</v>
      </c>
      <c r="W60" s="36"/>
      <c r="X60" s="35" t="s">
        <v>50</v>
      </c>
      <c r="Y60" s="34" t="s">
        <v>35</v>
      </c>
      <c r="Z60" s="34" t="s">
        <v>35</v>
      </c>
      <c r="AA60" s="36"/>
      <c r="AB60" s="35">
        <v>1106</v>
      </c>
      <c r="AC60" s="34" t="s">
        <v>35</v>
      </c>
      <c r="AD60" s="13" t="s">
        <v>35</v>
      </c>
      <c r="AE60" s="14"/>
      <c r="AF60" s="12" t="s">
        <v>53</v>
      </c>
      <c r="AG60" s="13" t="s">
        <v>35</v>
      </c>
      <c r="AH60" s="13" t="s">
        <v>35</v>
      </c>
      <c r="AI60" s="14"/>
      <c r="AJ60" s="37" t="s">
        <v>30</v>
      </c>
      <c r="AK60" s="13" t="s">
        <v>35</v>
      </c>
      <c r="AL60" s="13" t="s">
        <v>35</v>
      </c>
      <c r="AM60" s="14"/>
      <c r="AN60" s="12"/>
      <c r="AO60" s="13"/>
      <c r="AP60" s="13"/>
      <c r="AQ60" s="14"/>
      <c r="AR60" s="35" t="s">
        <v>55</v>
      </c>
      <c r="AS60" s="13" t="s">
        <v>35</v>
      </c>
      <c r="AT60" s="13" t="s">
        <v>35</v>
      </c>
      <c r="AU60" s="14"/>
      <c r="AV60" s="35" t="s">
        <v>57</v>
      </c>
      <c r="AW60" s="34" t="s">
        <v>35</v>
      </c>
      <c r="AX60" s="34" t="s">
        <v>35</v>
      </c>
      <c r="AY60" s="36"/>
      <c r="AZ60" s="43"/>
      <c r="BA60" s="43"/>
      <c r="BB60" s="12">
        <f>D60</f>
        <v>2822</v>
      </c>
      <c r="BC60" s="13" t="str">
        <f>H60</f>
        <v>2B42</v>
      </c>
      <c r="BD60" s="13" t="str">
        <f>L60</f>
        <v>2B42</v>
      </c>
      <c r="BE60" s="3" t="str">
        <f>P60</f>
        <v>F212</v>
      </c>
      <c r="BF60" s="3" t="str">
        <f>T60</f>
        <v>D89A</v>
      </c>
      <c r="BG60" s="3" t="str">
        <f>X60</f>
        <v>25CE</v>
      </c>
      <c r="BH60" s="3">
        <f>AB60</f>
        <v>1106</v>
      </c>
      <c r="BI60" s="3" t="str">
        <f>AF60</f>
        <v>260A</v>
      </c>
      <c r="BJ60" s="3" t="str">
        <f>AJ60</f>
        <v>307A</v>
      </c>
      <c r="BK60" s="3">
        <f>AN60</f>
        <v>0</v>
      </c>
      <c r="BL60" s="3" t="str">
        <f>AR60</f>
        <v>421A</v>
      </c>
      <c r="BM60" s="4" t="str">
        <f>AV60</f>
        <v>39D6</v>
      </c>
      <c r="BO60" s="159">
        <v>2492</v>
      </c>
      <c r="BP60" s="97" t="str">
        <f t="shared" si="7"/>
        <v/>
      </c>
      <c r="BQ60" s="3" t="str">
        <f t="shared" si="8"/>
        <v/>
      </c>
      <c r="BR60" s="97" t="e">
        <f t="shared" si="9"/>
        <v>#N/A</v>
      </c>
      <c r="BS60" s="4" t="e">
        <f t="shared" si="10"/>
        <v>#N/A</v>
      </c>
    </row>
    <row r="61" spans="1:85" x14ac:dyDescent="0.25">
      <c r="D61" s="8" t="s">
        <v>44</v>
      </c>
      <c r="E61" s="39" t="s">
        <v>35</v>
      </c>
      <c r="F61" s="39" t="s">
        <v>35</v>
      </c>
      <c r="G61" s="39"/>
      <c r="H61" s="8">
        <v>3782</v>
      </c>
      <c r="I61" s="39" t="s">
        <v>35</v>
      </c>
      <c r="J61" s="39" t="s">
        <v>35</v>
      </c>
      <c r="K61" s="40"/>
      <c r="L61" s="8" t="s">
        <v>46</v>
      </c>
      <c r="M61" s="39" t="s">
        <v>35</v>
      </c>
      <c r="N61" s="39" t="s">
        <v>35</v>
      </c>
      <c r="O61" s="40"/>
      <c r="P61" s="8" t="s">
        <v>47</v>
      </c>
      <c r="Q61" s="39" t="s">
        <v>35</v>
      </c>
      <c r="R61" s="39" t="s">
        <v>35</v>
      </c>
      <c r="S61" s="40"/>
      <c r="T61" s="8" t="s">
        <v>48</v>
      </c>
      <c r="U61" s="34" t="s">
        <v>35</v>
      </c>
      <c r="V61" s="34" t="s">
        <v>35</v>
      </c>
      <c r="W61" s="36"/>
      <c r="X61" s="38">
        <v>1712</v>
      </c>
      <c r="Y61" s="34" t="s">
        <v>35</v>
      </c>
      <c r="Z61" s="34" t="s">
        <v>35</v>
      </c>
      <c r="AA61" s="36"/>
      <c r="AB61" s="38">
        <v>1712</v>
      </c>
      <c r="AC61" s="34" t="s">
        <v>35</v>
      </c>
      <c r="AD61" s="13" t="s">
        <v>35</v>
      </c>
      <c r="AE61" s="14"/>
      <c r="AF61" s="12"/>
      <c r="AG61" s="13"/>
      <c r="AH61" s="13"/>
      <c r="AI61" s="14"/>
      <c r="AJ61" s="12" t="s">
        <v>53</v>
      </c>
      <c r="AK61" s="13" t="s">
        <v>35</v>
      </c>
      <c r="AL61" s="13" t="s">
        <v>35</v>
      </c>
      <c r="AM61" s="14"/>
      <c r="AN61" s="12"/>
      <c r="AO61" s="13"/>
      <c r="AP61" s="13"/>
      <c r="AQ61" s="14"/>
      <c r="AR61" s="35" t="s">
        <v>56</v>
      </c>
      <c r="AS61" s="34" t="s">
        <v>35</v>
      </c>
      <c r="AT61" s="34" t="s">
        <v>35</v>
      </c>
      <c r="AU61" s="14"/>
      <c r="AV61" s="35" t="s">
        <v>58</v>
      </c>
      <c r="AW61" s="34" t="s">
        <v>35</v>
      </c>
      <c r="AX61" s="34" t="s">
        <v>35</v>
      </c>
      <c r="AY61" s="36"/>
      <c r="AZ61" s="43"/>
      <c r="BA61" s="43"/>
      <c r="BB61" s="12" t="str">
        <f>D61</f>
        <v>375E</v>
      </c>
      <c r="BC61" s="13">
        <f>H61</f>
        <v>3782</v>
      </c>
      <c r="BD61" s="13" t="str">
        <f>L61</f>
        <v>F212</v>
      </c>
      <c r="BE61" s="3" t="str">
        <f>P61</f>
        <v>D89A</v>
      </c>
      <c r="BF61" s="3" t="str">
        <f>T61</f>
        <v>65F2</v>
      </c>
      <c r="BG61" s="3">
        <f>X61</f>
        <v>1712</v>
      </c>
      <c r="BH61" s="3">
        <f>AB61</f>
        <v>1712</v>
      </c>
      <c r="BI61" s="3">
        <f>AF61</f>
        <v>0</v>
      </c>
      <c r="BJ61" s="3" t="str">
        <f>AJ61</f>
        <v>260A</v>
      </c>
      <c r="BK61" s="3">
        <f>AN61</f>
        <v>0</v>
      </c>
      <c r="BL61" s="3" t="str">
        <f>AR61</f>
        <v>3BEA</v>
      </c>
      <c r="BM61" s="4" t="str">
        <f>AV61</f>
        <v>2BDE</v>
      </c>
      <c r="BO61" s="159">
        <v>2822</v>
      </c>
      <c r="BP61" s="97" t="str">
        <f t="shared" si="7"/>
        <v/>
      </c>
      <c r="BQ61" s="3" t="str">
        <f t="shared" si="8"/>
        <v/>
      </c>
      <c r="BR61" s="97" t="e">
        <f t="shared" si="9"/>
        <v>#N/A</v>
      </c>
      <c r="BS61" s="4" t="e">
        <f t="shared" si="10"/>
        <v>#N/A</v>
      </c>
    </row>
    <row r="62" spans="1:85" x14ac:dyDescent="0.25">
      <c r="D62" s="2"/>
      <c r="E62" s="3"/>
      <c r="F62" s="3"/>
      <c r="G62" s="3"/>
      <c r="H62" s="42" t="s">
        <v>30</v>
      </c>
      <c r="I62" s="3" t="s">
        <v>35</v>
      </c>
      <c r="J62" s="3" t="s">
        <v>35</v>
      </c>
      <c r="K62" s="4"/>
      <c r="L62" s="2" t="s">
        <v>47</v>
      </c>
      <c r="M62" s="3" t="s">
        <v>35</v>
      </c>
      <c r="N62" s="3" t="s">
        <v>35</v>
      </c>
      <c r="O62" s="4"/>
      <c r="P62" s="2" t="s">
        <v>48</v>
      </c>
      <c r="Q62" s="3" t="s">
        <v>35</v>
      </c>
      <c r="R62" s="3" t="s">
        <v>35</v>
      </c>
      <c r="S62" s="4"/>
      <c r="T62" s="2" t="s">
        <v>49</v>
      </c>
      <c r="U62" s="13" t="s">
        <v>35</v>
      </c>
      <c r="V62" s="13" t="s">
        <v>35</v>
      </c>
      <c r="W62" s="14"/>
      <c r="X62" s="12">
        <v>3782</v>
      </c>
      <c r="Y62" s="13" t="s">
        <v>35</v>
      </c>
      <c r="Z62" s="13" t="s">
        <v>35</v>
      </c>
      <c r="AA62" s="14"/>
      <c r="AB62" s="12">
        <v>3782</v>
      </c>
      <c r="AC62" s="13" t="s">
        <v>35</v>
      </c>
      <c r="AD62" s="13" t="s">
        <v>35</v>
      </c>
      <c r="AE62" s="14"/>
      <c r="AF62" s="12"/>
      <c r="AG62" s="13"/>
      <c r="AH62" s="13"/>
      <c r="AI62" s="14"/>
      <c r="AJ62" s="12"/>
      <c r="AK62" s="13"/>
      <c r="AL62" s="13"/>
      <c r="AM62" s="14"/>
      <c r="AN62" s="12"/>
      <c r="AO62" s="13"/>
      <c r="AP62" s="13"/>
      <c r="AQ62" s="14"/>
      <c r="AR62" s="12" t="s">
        <v>57</v>
      </c>
      <c r="AS62" s="34" t="s">
        <v>35</v>
      </c>
      <c r="AT62" s="34" t="s">
        <v>35</v>
      </c>
      <c r="AU62" s="14"/>
      <c r="AV62" s="35">
        <v>5636</v>
      </c>
      <c r="AW62" s="34" t="s">
        <v>35</v>
      </c>
      <c r="AX62" s="34" t="s">
        <v>35</v>
      </c>
      <c r="AY62" s="36"/>
      <c r="AZ62" s="43"/>
      <c r="BA62" s="43"/>
      <c r="BB62" s="12">
        <f>D62</f>
        <v>0</v>
      </c>
      <c r="BC62" s="13" t="str">
        <f>H62</f>
        <v>307A</v>
      </c>
      <c r="BD62" s="13" t="str">
        <f>L62</f>
        <v>D89A</v>
      </c>
      <c r="BE62" s="3" t="str">
        <f>P62</f>
        <v>65F2</v>
      </c>
      <c r="BF62" s="3" t="str">
        <f>T62</f>
        <v>4B1A</v>
      </c>
      <c r="BG62" s="3">
        <f>X62</f>
        <v>3782</v>
      </c>
      <c r="BH62" s="3">
        <f>AB62</f>
        <v>3782</v>
      </c>
      <c r="BI62" s="3">
        <f>AF62</f>
        <v>0</v>
      </c>
      <c r="BJ62" s="3">
        <f>AJ62</f>
        <v>0</v>
      </c>
      <c r="BK62" s="3">
        <f>AN62</f>
        <v>0</v>
      </c>
      <c r="BL62" s="3" t="str">
        <f>AR62</f>
        <v>39D6</v>
      </c>
      <c r="BM62" s="4">
        <f>AV62</f>
        <v>5636</v>
      </c>
      <c r="BO62" s="159">
        <v>2852</v>
      </c>
      <c r="BP62" s="97" t="str">
        <f t="shared" si="7"/>
        <v/>
      </c>
      <c r="BQ62" s="3" t="str">
        <f t="shared" si="8"/>
        <v/>
      </c>
      <c r="BR62" s="97" t="str">
        <f t="shared" si="9"/>
        <v/>
      </c>
      <c r="BS62" s="4" t="e">
        <f t="shared" si="10"/>
        <v>#N/A</v>
      </c>
    </row>
    <row r="63" spans="1:85" x14ac:dyDescent="0.25">
      <c r="D63" s="2"/>
      <c r="E63" s="3"/>
      <c r="F63" s="3"/>
      <c r="G63" s="3"/>
      <c r="H63" s="2"/>
      <c r="I63" s="3"/>
      <c r="J63" s="3"/>
      <c r="K63" s="4"/>
      <c r="L63" s="2" t="s">
        <v>48</v>
      </c>
      <c r="M63" s="3" t="s">
        <v>35</v>
      </c>
      <c r="N63" s="3" t="s">
        <v>35</v>
      </c>
      <c r="O63" s="4"/>
      <c r="P63" s="2" t="s">
        <v>49</v>
      </c>
      <c r="Q63" s="3" t="s">
        <v>35</v>
      </c>
      <c r="R63" s="3" t="s">
        <v>35</v>
      </c>
      <c r="S63" s="4"/>
      <c r="T63" s="2" t="s">
        <v>50</v>
      </c>
      <c r="U63" s="13" t="s">
        <v>35</v>
      </c>
      <c r="V63" s="13" t="s">
        <v>35</v>
      </c>
      <c r="W63" s="14"/>
      <c r="X63" s="37" t="s">
        <v>30</v>
      </c>
      <c r="Y63" s="13" t="s">
        <v>35</v>
      </c>
      <c r="Z63" s="13" t="s">
        <v>35</v>
      </c>
      <c r="AA63" s="14"/>
      <c r="AB63" s="37" t="s">
        <v>30</v>
      </c>
      <c r="AC63" s="13" t="s">
        <v>35</v>
      </c>
      <c r="AD63" s="13" t="s">
        <v>35</v>
      </c>
      <c r="AE63" s="14"/>
      <c r="AF63" s="12"/>
      <c r="AG63" s="13"/>
      <c r="AH63" s="13"/>
      <c r="AI63" s="14"/>
      <c r="AJ63" s="12"/>
      <c r="AK63" s="13"/>
      <c r="AL63" s="13"/>
      <c r="AM63" s="14"/>
      <c r="AN63" s="12"/>
      <c r="AO63" s="13"/>
      <c r="AP63" s="13"/>
      <c r="AQ63" s="14"/>
      <c r="AR63" s="12" t="s">
        <v>58</v>
      </c>
      <c r="AS63" s="34" t="s">
        <v>35</v>
      </c>
      <c r="AT63" s="34" t="s">
        <v>35</v>
      </c>
      <c r="AU63" s="14"/>
      <c r="AV63" s="12" t="s">
        <v>59</v>
      </c>
      <c r="AW63" s="13" t="s">
        <v>35</v>
      </c>
      <c r="AX63" s="13" t="s">
        <v>35</v>
      </c>
      <c r="AY63" s="14"/>
      <c r="AZ63" s="43"/>
      <c r="BA63" s="43"/>
      <c r="BB63" s="12">
        <f>D63</f>
        <v>0</v>
      </c>
      <c r="BC63" s="13">
        <f>H63</f>
        <v>0</v>
      </c>
      <c r="BD63" s="13" t="str">
        <f>L63</f>
        <v>65F2</v>
      </c>
      <c r="BE63" s="3" t="str">
        <f>P63</f>
        <v>4B1A</v>
      </c>
      <c r="BF63" s="3" t="str">
        <f>T63</f>
        <v>25CE</v>
      </c>
      <c r="BG63" s="3" t="str">
        <f>X63</f>
        <v>307A</v>
      </c>
      <c r="BH63" s="3" t="str">
        <f>AB63</f>
        <v>307A</v>
      </c>
      <c r="BI63" s="3">
        <f>AF63</f>
        <v>0</v>
      </c>
      <c r="BJ63" s="3">
        <f>AJ63</f>
        <v>0</v>
      </c>
      <c r="BK63" s="3">
        <f>AN63</f>
        <v>0</v>
      </c>
      <c r="BL63" s="3" t="str">
        <f>AR63</f>
        <v>2BDE</v>
      </c>
      <c r="BM63" s="4" t="str">
        <f>AV63</f>
        <v>D282</v>
      </c>
      <c r="BO63" s="159">
        <v>3842</v>
      </c>
      <c r="BP63" s="97" t="str">
        <f t="shared" si="7"/>
        <v/>
      </c>
      <c r="BQ63" s="3" t="str">
        <f t="shared" si="8"/>
        <v/>
      </c>
      <c r="BR63" s="97" t="e">
        <f t="shared" si="9"/>
        <v>#N/A</v>
      </c>
      <c r="BS63" s="4" t="e">
        <f t="shared" si="10"/>
        <v>#N/A</v>
      </c>
    </row>
    <row r="64" spans="1:85" x14ac:dyDescent="0.25">
      <c r="D64" s="2"/>
      <c r="E64" s="3"/>
      <c r="F64" s="3"/>
      <c r="G64" s="3"/>
      <c r="H64" s="2"/>
      <c r="I64" s="3"/>
      <c r="J64" s="3"/>
      <c r="K64" s="4"/>
      <c r="L64" s="2" t="s">
        <v>49</v>
      </c>
      <c r="M64" s="3" t="s">
        <v>35</v>
      </c>
      <c r="N64" s="3" t="s">
        <v>35</v>
      </c>
      <c r="O64" s="4"/>
      <c r="P64" s="2" t="s">
        <v>50</v>
      </c>
      <c r="Q64" s="3" t="s">
        <v>35</v>
      </c>
      <c r="R64" s="3" t="s">
        <v>35</v>
      </c>
      <c r="S64" s="4"/>
      <c r="T64" s="2" t="s">
        <v>51</v>
      </c>
      <c r="U64" s="13" t="s">
        <v>35</v>
      </c>
      <c r="V64" s="13" t="s">
        <v>35</v>
      </c>
      <c r="W64" s="14"/>
      <c r="X64" s="12" t="s">
        <v>53</v>
      </c>
      <c r="Y64" s="13" t="s">
        <v>35</v>
      </c>
      <c r="Z64" s="13" t="s">
        <v>35</v>
      </c>
      <c r="AA64" s="14"/>
      <c r="AB64" s="12" t="s">
        <v>53</v>
      </c>
      <c r="AC64" s="13" t="s">
        <v>35</v>
      </c>
      <c r="AD64" s="13" t="s">
        <v>35</v>
      </c>
      <c r="AE64" s="14"/>
      <c r="AF64" s="12"/>
      <c r="AG64" s="13"/>
      <c r="AH64" s="13"/>
      <c r="AI64" s="14"/>
      <c r="AJ64" s="12"/>
      <c r="AK64" s="13"/>
      <c r="AL64" s="13"/>
      <c r="AM64" s="14"/>
      <c r="AN64" s="12"/>
      <c r="AO64" s="13"/>
      <c r="AP64" s="13"/>
      <c r="AQ64" s="14"/>
      <c r="AR64" s="12">
        <v>5636</v>
      </c>
      <c r="AS64" s="13" t="s">
        <v>35</v>
      </c>
      <c r="AT64" s="13" t="s">
        <v>35</v>
      </c>
      <c r="AU64" s="14"/>
      <c r="AV64" s="12" t="s">
        <v>60</v>
      </c>
      <c r="AW64" s="13" t="s">
        <v>35</v>
      </c>
      <c r="AX64" s="13" t="s">
        <v>35</v>
      </c>
      <c r="AY64" s="14"/>
      <c r="AZ64" s="43"/>
      <c r="BA64" s="43"/>
      <c r="BB64" s="12">
        <f>D64</f>
        <v>0</v>
      </c>
      <c r="BC64" s="13">
        <f>H64</f>
        <v>0</v>
      </c>
      <c r="BD64" s="13" t="str">
        <f>L64</f>
        <v>4B1A</v>
      </c>
      <c r="BE64" s="3" t="str">
        <f>P64</f>
        <v>25CE</v>
      </c>
      <c r="BF64" s="3" t="str">
        <f>T64</f>
        <v>DD66</v>
      </c>
      <c r="BG64" s="3" t="str">
        <f>X64</f>
        <v>260A</v>
      </c>
      <c r="BH64" s="3" t="str">
        <f>AB64</f>
        <v>260A</v>
      </c>
      <c r="BI64" s="3">
        <f>AF64</f>
        <v>0</v>
      </c>
      <c r="BJ64" s="3">
        <f>AJ64</f>
        <v>0</v>
      </c>
      <c r="BK64" s="3">
        <f>AN64</f>
        <v>0</v>
      </c>
      <c r="BL64" s="3">
        <f>AR64</f>
        <v>5636</v>
      </c>
      <c r="BM64" s="4" t="str">
        <f>AV64</f>
        <v>3B7E</v>
      </c>
      <c r="BO64" s="178" t="s">
        <v>32</v>
      </c>
      <c r="BP64" s="179" t="str">
        <f t="shared" si="7"/>
        <v>06BE</v>
      </c>
      <c r="BQ64" s="197" t="str">
        <f t="shared" si="8"/>
        <v>06BE</v>
      </c>
      <c r="BR64" s="179" t="str">
        <f t="shared" si="9"/>
        <v>06BE</v>
      </c>
      <c r="BS64" s="4" t="str">
        <f t="shared" si="10"/>
        <v/>
      </c>
    </row>
    <row r="65" spans="1:71" x14ac:dyDescent="0.25">
      <c r="D65" s="2"/>
      <c r="E65" s="3"/>
      <c r="F65" s="3"/>
      <c r="G65" s="3"/>
      <c r="H65" s="2"/>
      <c r="I65" s="3"/>
      <c r="J65" s="3"/>
      <c r="K65" s="4"/>
      <c r="L65" s="2" t="s">
        <v>50</v>
      </c>
      <c r="M65" s="3" t="s">
        <v>35</v>
      </c>
      <c r="N65" s="3" t="s">
        <v>35</v>
      </c>
      <c r="O65" s="4"/>
      <c r="P65" s="2" t="s">
        <v>51</v>
      </c>
      <c r="Q65" s="3" t="s">
        <v>35</v>
      </c>
      <c r="R65" s="3" t="s">
        <v>35</v>
      </c>
      <c r="S65" s="4"/>
      <c r="T65" s="44">
        <v>1712</v>
      </c>
      <c r="U65" s="13" t="s">
        <v>35</v>
      </c>
      <c r="V65" s="13" t="s">
        <v>35</v>
      </c>
      <c r="W65" s="14"/>
      <c r="X65" s="12"/>
      <c r="Y65" s="13"/>
      <c r="Z65" s="13"/>
      <c r="AA65" s="14"/>
      <c r="AB65" s="12"/>
      <c r="AC65" s="13"/>
      <c r="AD65" s="13"/>
      <c r="AE65" s="14"/>
      <c r="AF65" s="12"/>
      <c r="AG65" s="13"/>
      <c r="AH65" s="13"/>
      <c r="AI65" s="14"/>
      <c r="AJ65" s="12"/>
      <c r="AK65" s="13"/>
      <c r="AL65" s="13"/>
      <c r="AM65" s="14"/>
      <c r="AN65" s="12"/>
      <c r="AO65" s="13"/>
      <c r="AP65" s="13"/>
      <c r="AQ65" s="14"/>
      <c r="AR65" s="12" t="s">
        <v>59</v>
      </c>
      <c r="AS65" s="13" t="s">
        <v>35</v>
      </c>
      <c r="AT65" s="13" t="s">
        <v>35</v>
      </c>
      <c r="AU65" s="14"/>
      <c r="AV65" s="12" t="s">
        <v>61</v>
      </c>
      <c r="AW65" s="13" t="s">
        <v>35</v>
      </c>
      <c r="AX65" s="13" t="s">
        <v>35</v>
      </c>
      <c r="AY65" s="14"/>
      <c r="AZ65" s="43"/>
      <c r="BA65" s="43"/>
      <c r="BB65" s="12">
        <f>D65</f>
        <v>0</v>
      </c>
      <c r="BC65" s="13">
        <f>H65</f>
        <v>0</v>
      </c>
      <c r="BD65" s="13" t="str">
        <f>L65</f>
        <v>25CE</v>
      </c>
      <c r="BE65" s="3" t="str">
        <f>P65</f>
        <v>DD66</v>
      </c>
      <c r="BF65" s="3">
        <f>T65</f>
        <v>1712</v>
      </c>
      <c r="BG65" s="3">
        <f>X65</f>
        <v>0</v>
      </c>
      <c r="BH65" s="3">
        <f>AB65</f>
        <v>0</v>
      </c>
      <c r="BI65" s="3">
        <f>AF65</f>
        <v>0</v>
      </c>
      <c r="BJ65" s="3">
        <f>AJ65</f>
        <v>0</v>
      </c>
      <c r="BK65" s="3">
        <f>AN65</f>
        <v>0</v>
      </c>
      <c r="BL65" s="3" t="str">
        <f>AR65</f>
        <v>D282</v>
      </c>
      <c r="BM65" s="4" t="str">
        <f>AV65</f>
        <v>D2DA</v>
      </c>
      <c r="BO65" s="159" t="s">
        <v>17</v>
      </c>
      <c r="BP65" s="97" t="str">
        <f t="shared" si="7"/>
        <v/>
      </c>
      <c r="BQ65" s="3" t="e">
        <f t="shared" si="8"/>
        <v>#N/A</v>
      </c>
      <c r="BR65" s="97" t="e">
        <f t="shared" si="9"/>
        <v>#N/A</v>
      </c>
      <c r="BS65" s="4" t="e">
        <f t="shared" si="10"/>
        <v>#N/A</v>
      </c>
    </row>
    <row r="66" spans="1:71" x14ac:dyDescent="0.25">
      <c r="D66" s="10"/>
      <c r="E66" s="16"/>
      <c r="F66" s="16"/>
      <c r="G66" s="16"/>
      <c r="H66" s="10"/>
      <c r="I66" s="16"/>
      <c r="J66" s="16"/>
      <c r="K66" s="17"/>
      <c r="L66" s="35" t="s">
        <v>51</v>
      </c>
      <c r="M66" s="39" t="s">
        <v>35</v>
      </c>
      <c r="N66" s="39" t="s">
        <v>35</v>
      </c>
      <c r="O66" s="17"/>
      <c r="P66" s="8" t="s">
        <v>52</v>
      </c>
      <c r="Q66" s="39" t="s">
        <v>35</v>
      </c>
      <c r="R66" s="39" t="s">
        <v>35</v>
      </c>
      <c r="S66" s="17"/>
      <c r="T66" s="12">
        <v>3782</v>
      </c>
      <c r="U66" s="13" t="s">
        <v>35</v>
      </c>
      <c r="V66" s="13" t="s">
        <v>35</v>
      </c>
      <c r="W66" s="14"/>
      <c r="X66" s="12"/>
      <c r="Y66" s="13"/>
      <c r="Z66" s="13"/>
      <c r="AA66" s="14"/>
      <c r="AB66" s="12"/>
      <c r="AC66" s="13"/>
      <c r="AD66" s="13"/>
      <c r="AE66" s="14"/>
      <c r="AF66" s="12"/>
      <c r="AG66" s="13"/>
      <c r="AH66" s="13"/>
      <c r="AI66" s="14"/>
      <c r="AJ66" s="12"/>
      <c r="AK66" s="13"/>
      <c r="AL66" s="13"/>
      <c r="AM66" s="14"/>
      <c r="AN66" s="12"/>
      <c r="AO66" s="13"/>
      <c r="AP66" s="13"/>
      <c r="AQ66" s="14"/>
      <c r="AR66" s="12" t="s">
        <v>60</v>
      </c>
      <c r="AS66" s="13" t="s">
        <v>35</v>
      </c>
      <c r="AT66" s="13" t="s">
        <v>35</v>
      </c>
      <c r="AU66" s="14"/>
      <c r="AV66" s="12"/>
      <c r="AW66" s="13"/>
      <c r="AX66" s="13"/>
      <c r="AY66" s="14"/>
      <c r="AZ66" s="43"/>
      <c r="BA66" s="43"/>
      <c r="BB66" s="12">
        <f>D66</f>
        <v>0</v>
      </c>
      <c r="BC66" s="13">
        <f>H66</f>
        <v>0</v>
      </c>
      <c r="BD66" s="13" t="str">
        <f>L66</f>
        <v>DD66</v>
      </c>
      <c r="BE66" s="3" t="str">
        <f>P66</f>
        <v>E752</v>
      </c>
      <c r="BF66" s="3">
        <f>T66</f>
        <v>3782</v>
      </c>
      <c r="BG66" s="3">
        <f>X66</f>
        <v>0</v>
      </c>
      <c r="BH66" s="3">
        <f>AB66</f>
        <v>0</v>
      </c>
      <c r="BI66" s="3">
        <f>AF66</f>
        <v>0</v>
      </c>
      <c r="BJ66" s="3">
        <f>AJ66</f>
        <v>0</v>
      </c>
      <c r="BK66" s="3">
        <f>AN66</f>
        <v>0</v>
      </c>
      <c r="BL66" s="3" t="str">
        <f>AR66</f>
        <v>3B7E</v>
      </c>
      <c r="BM66" s="4">
        <f>AV66</f>
        <v>0</v>
      </c>
      <c r="BO66" s="183" t="s">
        <v>24</v>
      </c>
      <c r="BP66" s="110" t="str">
        <f t="shared" si="7"/>
        <v>14D6</v>
      </c>
      <c r="BQ66" s="147" t="str">
        <f t="shared" si="8"/>
        <v>14D6</v>
      </c>
      <c r="BR66" s="110" t="str">
        <f t="shared" si="9"/>
        <v>14D6</v>
      </c>
      <c r="BS66" s="201" t="str">
        <f t="shared" si="10"/>
        <v>14D6</v>
      </c>
    </row>
    <row r="67" spans="1:71" x14ac:dyDescent="0.25">
      <c r="D67" s="10"/>
      <c r="E67" s="16"/>
      <c r="F67" s="16"/>
      <c r="G67" s="16"/>
      <c r="H67" s="10"/>
      <c r="I67" s="16"/>
      <c r="J67" s="16"/>
      <c r="K67" s="17"/>
      <c r="L67" s="35" t="s">
        <v>52</v>
      </c>
      <c r="M67" s="39" t="s">
        <v>35</v>
      </c>
      <c r="N67" s="39" t="s">
        <v>35</v>
      </c>
      <c r="O67" s="17"/>
      <c r="P67" s="12">
        <v>1106</v>
      </c>
      <c r="Q67" s="39" t="s">
        <v>35</v>
      </c>
      <c r="R67" s="39" t="s">
        <v>35</v>
      </c>
      <c r="S67" s="17"/>
      <c r="T67" s="37" t="s">
        <v>30</v>
      </c>
      <c r="U67" s="13" t="s">
        <v>35</v>
      </c>
      <c r="V67" s="13" t="s">
        <v>35</v>
      </c>
      <c r="W67" s="14"/>
      <c r="X67" s="12"/>
      <c r="Y67" s="13"/>
      <c r="Z67" s="13"/>
      <c r="AA67" s="14"/>
      <c r="AB67" s="12"/>
      <c r="AC67" s="13"/>
      <c r="AD67" s="13"/>
      <c r="AE67" s="14"/>
      <c r="AF67" s="12"/>
      <c r="AG67" s="13"/>
      <c r="AH67" s="13"/>
      <c r="AI67" s="14"/>
      <c r="AJ67" s="12"/>
      <c r="AK67" s="13"/>
      <c r="AL67" s="13"/>
      <c r="AM67" s="14"/>
      <c r="AN67" s="12"/>
      <c r="AO67" s="13"/>
      <c r="AP67" s="13"/>
      <c r="AQ67" s="14"/>
      <c r="AR67" s="12" t="s">
        <v>61</v>
      </c>
      <c r="AS67" s="13" t="s">
        <v>35</v>
      </c>
      <c r="AT67" s="13" t="s">
        <v>35</v>
      </c>
      <c r="AU67" s="14"/>
      <c r="AV67" s="12"/>
      <c r="AW67" s="13"/>
      <c r="AX67" s="13"/>
      <c r="AY67" s="14"/>
      <c r="AZ67" s="43"/>
      <c r="BA67" s="43"/>
      <c r="BB67" s="12">
        <f>D67</f>
        <v>0</v>
      </c>
      <c r="BC67" s="13">
        <f>H67</f>
        <v>0</v>
      </c>
      <c r="BD67" s="13" t="str">
        <f>L67</f>
        <v>E752</v>
      </c>
      <c r="BE67" s="3">
        <f>P67</f>
        <v>1106</v>
      </c>
      <c r="BF67" s="3" t="str">
        <f>T67</f>
        <v>307A</v>
      </c>
      <c r="BG67" s="3">
        <f>X67</f>
        <v>0</v>
      </c>
      <c r="BH67" s="3">
        <f>AB67</f>
        <v>0</v>
      </c>
      <c r="BI67" s="3">
        <f>AF67</f>
        <v>0</v>
      </c>
      <c r="BJ67" s="3">
        <f>AJ67</f>
        <v>0</v>
      </c>
      <c r="BK67" s="3">
        <f>AN67</f>
        <v>0</v>
      </c>
      <c r="BL67" s="3" t="str">
        <f>AR67</f>
        <v>D2DA</v>
      </c>
      <c r="BM67" s="4">
        <f>AV67</f>
        <v>0</v>
      </c>
      <c r="BO67" s="159" t="s">
        <v>43</v>
      </c>
      <c r="BP67" s="97" t="str">
        <f t="shared" si="7"/>
        <v/>
      </c>
      <c r="BQ67" s="3" t="str">
        <f t="shared" si="8"/>
        <v/>
      </c>
      <c r="BR67" s="97" t="e">
        <f t="shared" si="9"/>
        <v>#N/A</v>
      </c>
      <c r="BS67" s="4" t="str">
        <f t="shared" si="10"/>
        <v/>
      </c>
    </row>
    <row r="68" spans="1:71" x14ac:dyDescent="0.25">
      <c r="D68" s="10"/>
      <c r="E68" s="16"/>
      <c r="F68" s="16"/>
      <c r="G68" s="16"/>
      <c r="H68" s="10"/>
      <c r="I68" s="16"/>
      <c r="J68" s="16"/>
      <c r="K68" s="17"/>
      <c r="L68" s="12">
        <v>1106</v>
      </c>
      <c r="M68" s="39" t="s">
        <v>35</v>
      </c>
      <c r="N68" s="39" t="s">
        <v>35</v>
      </c>
      <c r="O68" s="17"/>
      <c r="P68" s="38">
        <v>1712</v>
      </c>
      <c r="Q68" s="39" t="s">
        <v>35</v>
      </c>
      <c r="R68" s="39" t="s">
        <v>35</v>
      </c>
      <c r="S68" s="17"/>
      <c r="T68" s="35" t="s">
        <v>53</v>
      </c>
      <c r="U68" s="13" t="s">
        <v>35</v>
      </c>
      <c r="V68" s="13" t="s">
        <v>35</v>
      </c>
      <c r="W68" s="14"/>
      <c r="X68" s="12"/>
      <c r="Y68" s="13"/>
      <c r="Z68" s="13"/>
      <c r="AA68" s="14"/>
      <c r="AB68" s="12"/>
      <c r="AC68" s="13"/>
      <c r="AD68" s="13"/>
      <c r="AE68" s="14"/>
      <c r="AF68" s="12"/>
      <c r="AG68" s="13"/>
      <c r="AH68" s="13"/>
      <c r="AI68" s="14"/>
      <c r="AJ68" s="12"/>
      <c r="AK68" s="13"/>
      <c r="AL68" s="13"/>
      <c r="AM68" s="14"/>
      <c r="AN68" s="12"/>
      <c r="AO68" s="13"/>
      <c r="AP68" s="13"/>
      <c r="AQ68" s="14"/>
      <c r="AR68" s="12" t="s">
        <v>62</v>
      </c>
      <c r="AS68" s="13" t="s">
        <v>35</v>
      </c>
      <c r="AT68" s="13" t="s">
        <v>35</v>
      </c>
      <c r="AU68" s="14"/>
      <c r="AV68" s="12"/>
      <c r="AW68" s="13"/>
      <c r="AX68" s="13"/>
      <c r="AY68" s="14"/>
      <c r="AZ68" s="43"/>
      <c r="BA68" s="43"/>
      <c r="BB68" s="12">
        <f>D68</f>
        <v>0</v>
      </c>
      <c r="BC68" s="13">
        <f>H68</f>
        <v>0</v>
      </c>
      <c r="BD68" s="13">
        <f>L68</f>
        <v>1106</v>
      </c>
      <c r="BE68" s="3">
        <f>P68</f>
        <v>1712</v>
      </c>
      <c r="BF68" s="3" t="str">
        <f>T68</f>
        <v>260A</v>
      </c>
      <c r="BG68" s="3">
        <f>X68</f>
        <v>0</v>
      </c>
      <c r="BH68" s="3">
        <f>AB68</f>
        <v>0</v>
      </c>
      <c r="BI68" s="3">
        <f>AF68</f>
        <v>0</v>
      </c>
      <c r="BJ68" s="3">
        <f>AJ68</f>
        <v>0</v>
      </c>
      <c r="BK68" s="3">
        <f>AN68</f>
        <v>0</v>
      </c>
      <c r="BL68" s="3" t="str">
        <f>AR68</f>
        <v>5D62</v>
      </c>
      <c r="BM68" s="4">
        <f>AV68</f>
        <v>0</v>
      </c>
      <c r="BO68" s="159" t="s">
        <v>36</v>
      </c>
      <c r="BP68" s="97" t="str">
        <f t="shared" si="7"/>
        <v/>
      </c>
      <c r="BQ68" s="3" t="e">
        <f t="shared" si="8"/>
        <v>#N/A</v>
      </c>
      <c r="BR68" s="97" t="e">
        <f t="shared" si="9"/>
        <v>#N/A</v>
      </c>
      <c r="BS68" s="4" t="e">
        <f t="shared" si="10"/>
        <v>#N/A</v>
      </c>
    </row>
    <row r="69" spans="1:71" x14ac:dyDescent="0.25">
      <c r="D69" s="10"/>
      <c r="E69" s="16"/>
      <c r="F69" s="16"/>
      <c r="G69" s="16"/>
      <c r="H69" s="10"/>
      <c r="I69" s="16"/>
      <c r="J69" s="16"/>
      <c r="K69" s="17"/>
      <c r="L69" s="38">
        <v>1712</v>
      </c>
      <c r="M69" s="39" t="s">
        <v>35</v>
      </c>
      <c r="N69" s="39" t="s">
        <v>35</v>
      </c>
      <c r="O69" s="17"/>
      <c r="P69" s="12">
        <v>3782</v>
      </c>
      <c r="Q69" s="39" t="s">
        <v>35</v>
      </c>
      <c r="R69" s="39" t="s">
        <v>35</v>
      </c>
      <c r="S69" s="17"/>
      <c r="T69" s="10"/>
      <c r="U69" s="13"/>
      <c r="V69" s="13"/>
      <c r="W69" s="14"/>
      <c r="X69" s="12"/>
      <c r="Y69" s="13"/>
      <c r="Z69" s="13"/>
      <c r="AA69" s="14"/>
      <c r="AB69" s="12"/>
      <c r="AC69" s="13"/>
      <c r="AD69" s="13"/>
      <c r="AE69" s="14"/>
      <c r="AF69" s="12"/>
      <c r="AG69" s="13"/>
      <c r="AH69" s="13"/>
      <c r="AI69" s="14"/>
      <c r="AJ69" s="12"/>
      <c r="AK69" s="13"/>
      <c r="AL69" s="13"/>
      <c r="AM69" s="14"/>
      <c r="AN69" s="12"/>
      <c r="AO69" s="13"/>
      <c r="AP69" s="13"/>
      <c r="AQ69" s="14"/>
      <c r="AR69" s="12"/>
      <c r="AS69" s="13"/>
      <c r="AT69" s="13"/>
      <c r="AU69" s="14"/>
      <c r="AV69" s="12"/>
      <c r="AW69" s="13"/>
      <c r="AX69" s="13"/>
      <c r="AY69" s="14"/>
      <c r="AZ69" s="43"/>
      <c r="BA69" s="43"/>
      <c r="BB69" s="12">
        <f>D69</f>
        <v>0</v>
      </c>
      <c r="BC69" s="13">
        <f>H69</f>
        <v>0</v>
      </c>
      <c r="BD69" s="13">
        <f>L69</f>
        <v>1712</v>
      </c>
      <c r="BE69" s="3">
        <f>P69</f>
        <v>3782</v>
      </c>
      <c r="BF69" s="3">
        <f>T69</f>
        <v>0</v>
      </c>
      <c r="BG69" s="3">
        <f>X69</f>
        <v>0</v>
      </c>
      <c r="BH69" s="3">
        <f>AB69</f>
        <v>0</v>
      </c>
      <c r="BI69" s="3">
        <f>AF69</f>
        <v>0</v>
      </c>
      <c r="BJ69" s="3">
        <f>AJ69</f>
        <v>0</v>
      </c>
      <c r="BK69" s="3">
        <f>AN69</f>
        <v>0</v>
      </c>
      <c r="BL69" s="3">
        <f>AR69</f>
        <v>0</v>
      </c>
      <c r="BM69" s="4">
        <f>AV69</f>
        <v>0</v>
      </c>
      <c r="BO69" s="159" t="s">
        <v>27</v>
      </c>
      <c r="BP69" s="97" t="str">
        <f t="shared" si="7"/>
        <v/>
      </c>
      <c r="BQ69" s="3" t="e">
        <f t="shared" si="8"/>
        <v>#N/A</v>
      </c>
      <c r="BR69" s="97" t="e">
        <f t="shared" si="9"/>
        <v>#N/A</v>
      </c>
      <c r="BS69" s="4" t="e">
        <f t="shared" si="10"/>
        <v>#N/A</v>
      </c>
    </row>
    <row r="70" spans="1:71" x14ac:dyDescent="0.25">
      <c r="D70" s="10"/>
      <c r="E70" s="16"/>
      <c r="F70" s="16"/>
      <c r="G70" s="16"/>
      <c r="H70" s="10"/>
      <c r="I70" s="16"/>
      <c r="J70" s="16"/>
      <c r="K70" s="17"/>
      <c r="L70" s="12">
        <v>3782</v>
      </c>
      <c r="M70" s="39" t="s">
        <v>35</v>
      </c>
      <c r="N70" s="39" t="s">
        <v>35</v>
      </c>
      <c r="O70" s="17"/>
      <c r="P70" s="37" t="s">
        <v>30</v>
      </c>
      <c r="Q70" s="39" t="s">
        <v>35</v>
      </c>
      <c r="R70" s="39" t="s">
        <v>35</v>
      </c>
      <c r="S70" s="17"/>
      <c r="T70" s="10"/>
      <c r="U70" s="13"/>
      <c r="V70" s="13"/>
      <c r="W70" s="14"/>
      <c r="X70" s="12"/>
      <c r="Y70" s="13"/>
      <c r="Z70" s="13"/>
      <c r="AA70" s="14"/>
      <c r="AB70" s="12"/>
      <c r="AC70" s="13"/>
      <c r="AD70" s="13"/>
      <c r="AE70" s="14"/>
      <c r="AF70" s="12"/>
      <c r="AG70" s="13"/>
      <c r="AH70" s="13"/>
      <c r="AI70" s="14"/>
      <c r="AJ70" s="12"/>
      <c r="AK70" s="13"/>
      <c r="AL70" s="13"/>
      <c r="AM70" s="14"/>
      <c r="AN70" s="12"/>
      <c r="AO70" s="13"/>
      <c r="AP70" s="13"/>
      <c r="AQ70" s="14"/>
      <c r="AR70" s="12"/>
      <c r="AS70" s="13"/>
      <c r="AT70" s="13"/>
      <c r="AU70" s="14"/>
      <c r="AV70" s="12"/>
      <c r="AW70" s="13"/>
      <c r="AX70" s="13"/>
      <c r="AY70" s="14"/>
      <c r="AZ70" s="43"/>
      <c r="BA70" s="43"/>
      <c r="BB70" s="12">
        <f>D70</f>
        <v>0</v>
      </c>
      <c r="BC70" s="13">
        <f>H70</f>
        <v>0</v>
      </c>
      <c r="BD70" s="13">
        <f>L70</f>
        <v>3782</v>
      </c>
      <c r="BE70" s="3" t="str">
        <f>P70</f>
        <v>307A</v>
      </c>
      <c r="BF70" s="3">
        <f>T70</f>
        <v>0</v>
      </c>
      <c r="BG70" s="3">
        <f>X70</f>
        <v>0</v>
      </c>
      <c r="BH70" s="3">
        <f>AB70</f>
        <v>0</v>
      </c>
      <c r="BI70" s="3">
        <f>AF70</f>
        <v>0</v>
      </c>
      <c r="BJ70" s="3">
        <f>AJ70</f>
        <v>0</v>
      </c>
      <c r="BK70" s="3">
        <f>AN70</f>
        <v>0</v>
      </c>
      <c r="BL70" s="3">
        <f>AR70</f>
        <v>0</v>
      </c>
      <c r="BM70" s="4">
        <f>AV70</f>
        <v>0</v>
      </c>
      <c r="BO70" s="159" t="s">
        <v>41</v>
      </c>
      <c r="BP70" s="97" t="str">
        <f t="shared" si="7"/>
        <v/>
      </c>
      <c r="BQ70" s="3" t="str">
        <f t="shared" si="8"/>
        <v/>
      </c>
      <c r="BR70" s="97" t="str">
        <f t="shared" si="9"/>
        <v/>
      </c>
      <c r="BS70" s="4" t="e">
        <f t="shared" si="10"/>
        <v>#N/A</v>
      </c>
    </row>
    <row r="71" spans="1:71" x14ac:dyDescent="0.25">
      <c r="D71" s="10"/>
      <c r="E71" s="16"/>
      <c r="F71" s="16"/>
      <c r="G71" s="16"/>
      <c r="H71" s="10"/>
      <c r="I71" s="16"/>
      <c r="J71" s="16"/>
      <c r="K71" s="17"/>
      <c r="L71" s="12" t="s">
        <v>53</v>
      </c>
      <c r="M71" s="39" t="s">
        <v>35</v>
      </c>
      <c r="N71" s="39" t="s">
        <v>35</v>
      </c>
      <c r="O71" s="17"/>
      <c r="P71" s="12" t="s">
        <v>53</v>
      </c>
      <c r="Q71" s="39" t="s">
        <v>35</v>
      </c>
      <c r="R71" s="39" t="s">
        <v>35</v>
      </c>
      <c r="S71" s="17"/>
      <c r="T71" s="10"/>
      <c r="U71" s="13"/>
      <c r="V71" s="13"/>
      <c r="W71" s="14"/>
      <c r="X71" s="12"/>
      <c r="Y71" s="13"/>
      <c r="Z71" s="13"/>
      <c r="AA71" s="14"/>
      <c r="AB71" s="12"/>
      <c r="AC71" s="13"/>
      <c r="AD71" s="13"/>
      <c r="AE71" s="14"/>
      <c r="AF71" s="12"/>
      <c r="AG71" s="13"/>
      <c r="AH71" s="13"/>
      <c r="AI71" s="14"/>
      <c r="AJ71" s="12"/>
      <c r="AK71" s="13"/>
      <c r="AL71" s="13"/>
      <c r="AM71" s="14"/>
      <c r="AN71" s="12"/>
      <c r="AO71" s="13"/>
      <c r="AP71" s="13"/>
      <c r="AQ71" s="14"/>
      <c r="AR71" s="12"/>
      <c r="AS71" s="13"/>
      <c r="AT71" s="13"/>
      <c r="AU71" s="14"/>
      <c r="AV71" s="12"/>
      <c r="AW71" s="13"/>
      <c r="AX71" s="13"/>
      <c r="AY71" s="14"/>
      <c r="AZ71" s="43"/>
      <c r="BA71" s="43"/>
      <c r="BB71" s="12">
        <f>D71</f>
        <v>0</v>
      </c>
      <c r="BC71" s="13">
        <f>H71</f>
        <v>0</v>
      </c>
      <c r="BD71" s="13" t="str">
        <f>L71</f>
        <v>260A</v>
      </c>
      <c r="BE71" s="3" t="str">
        <f>P71</f>
        <v>260A</v>
      </c>
      <c r="BF71" s="3">
        <f>T71</f>
        <v>0</v>
      </c>
      <c r="BG71" s="3">
        <f>X71</f>
        <v>0</v>
      </c>
      <c r="BH71" s="3">
        <f>AB71</f>
        <v>0</v>
      </c>
      <c r="BI71" s="3">
        <f>AF71</f>
        <v>0</v>
      </c>
      <c r="BJ71" s="3">
        <f>AJ71</f>
        <v>0</v>
      </c>
      <c r="BK71" s="3">
        <f>AN71</f>
        <v>0</v>
      </c>
      <c r="BL71" s="3">
        <f>AR71</f>
        <v>0</v>
      </c>
      <c r="BM71" s="4">
        <f>AV71</f>
        <v>0</v>
      </c>
      <c r="BO71" s="159" t="s">
        <v>23</v>
      </c>
      <c r="BP71" s="97" t="e">
        <f t="shared" si="7"/>
        <v>#N/A</v>
      </c>
      <c r="BQ71" s="3" t="e">
        <f t="shared" si="8"/>
        <v>#N/A</v>
      </c>
      <c r="BR71" s="97" t="e">
        <f t="shared" si="9"/>
        <v>#N/A</v>
      </c>
      <c r="BS71" s="4" t="e">
        <f t="shared" si="10"/>
        <v>#N/A</v>
      </c>
    </row>
    <row r="72" spans="1:71" x14ac:dyDescent="0.25">
      <c r="D72" s="10"/>
      <c r="E72" s="16"/>
      <c r="F72" s="16"/>
      <c r="G72" s="16"/>
      <c r="H72" s="10"/>
      <c r="I72" s="16"/>
      <c r="J72" s="16"/>
      <c r="K72" s="17"/>
      <c r="L72" s="10"/>
      <c r="M72" s="16"/>
      <c r="N72" s="16"/>
      <c r="O72" s="17"/>
      <c r="P72" s="10"/>
      <c r="Q72" s="16"/>
      <c r="R72" s="16"/>
      <c r="S72" s="17"/>
      <c r="T72" s="10"/>
      <c r="U72" s="16"/>
      <c r="V72" s="16"/>
      <c r="W72" s="17"/>
      <c r="X72" s="10"/>
      <c r="Y72" s="16"/>
      <c r="Z72" s="16"/>
      <c r="AA72" s="17"/>
      <c r="AB72" s="10"/>
      <c r="AC72" s="16"/>
      <c r="AD72" s="16"/>
      <c r="AE72" s="17"/>
      <c r="AF72" s="58"/>
      <c r="AG72" s="59"/>
      <c r="AH72" s="59"/>
      <c r="AI72" s="60"/>
      <c r="AJ72" s="10"/>
      <c r="AK72" s="16"/>
      <c r="AL72" s="16"/>
      <c r="AM72" s="17"/>
      <c r="AN72" s="10"/>
      <c r="AO72" s="16"/>
      <c r="AP72" s="16"/>
      <c r="AQ72" s="17"/>
      <c r="AR72" s="10"/>
      <c r="AS72" s="16"/>
      <c r="AT72" s="16"/>
      <c r="AU72" s="17"/>
      <c r="AV72" s="10"/>
      <c r="AW72" s="16"/>
      <c r="AX72" s="16"/>
      <c r="AY72" s="17"/>
      <c r="BB72" s="12">
        <f>D72</f>
        <v>0</v>
      </c>
      <c r="BC72" s="13">
        <f>H72</f>
        <v>0</v>
      </c>
      <c r="BD72" s="13">
        <f>L72</f>
        <v>0</v>
      </c>
      <c r="BE72" s="3">
        <f>P72</f>
        <v>0</v>
      </c>
      <c r="BF72" s="3">
        <f>T72</f>
        <v>0</v>
      </c>
      <c r="BG72" s="3">
        <f>X72</f>
        <v>0</v>
      </c>
      <c r="BH72" s="3">
        <f>AB72</f>
        <v>0</v>
      </c>
      <c r="BI72" s="3">
        <f>AF72</f>
        <v>0</v>
      </c>
      <c r="BJ72" s="3">
        <f>AJ72</f>
        <v>0</v>
      </c>
      <c r="BK72" s="3">
        <f>AN72</f>
        <v>0</v>
      </c>
      <c r="BL72" s="3">
        <f>AR72</f>
        <v>0</v>
      </c>
      <c r="BM72" s="4">
        <f>AV72</f>
        <v>0</v>
      </c>
      <c r="BO72" s="159" t="s">
        <v>21</v>
      </c>
      <c r="BP72" s="97" t="e">
        <f t="shared" si="7"/>
        <v>#N/A</v>
      </c>
      <c r="BQ72" s="3" t="e">
        <f t="shared" si="8"/>
        <v>#N/A</v>
      </c>
      <c r="BR72" s="97" t="str">
        <f t="shared" si="9"/>
        <v/>
      </c>
      <c r="BS72" s="4" t="str">
        <f t="shared" si="10"/>
        <v/>
      </c>
    </row>
    <row r="73" spans="1:71" x14ac:dyDescent="0.25">
      <c r="D73" s="10"/>
      <c r="E73" s="16"/>
      <c r="F73" s="16"/>
      <c r="G73" s="16"/>
      <c r="H73" s="10"/>
      <c r="I73" s="16"/>
      <c r="J73" s="16"/>
      <c r="K73" s="17"/>
      <c r="L73" s="10"/>
      <c r="M73" s="16"/>
      <c r="N73" s="16"/>
      <c r="O73" s="17"/>
      <c r="P73" s="10"/>
      <c r="Q73" s="16"/>
      <c r="R73" s="16"/>
      <c r="S73" s="17"/>
      <c r="T73" s="10"/>
      <c r="U73" s="16"/>
      <c r="V73" s="16"/>
      <c r="W73" s="17"/>
      <c r="X73" s="10"/>
      <c r="Y73" s="16"/>
      <c r="Z73" s="16"/>
      <c r="AA73" s="17"/>
      <c r="AB73" s="10"/>
      <c r="AC73" s="16"/>
      <c r="AD73" s="16"/>
      <c r="AE73" s="17"/>
      <c r="AF73" s="58"/>
      <c r="AG73" s="59"/>
      <c r="AH73" s="59"/>
      <c r="AI73" s="60"/>
      <c r="AJ73" s="10"/>
      <c r="AK73" s="16"/>
      <c r="AL73" s="16"/>
      <c r="AM73" s="17"/>
      <c r="AN73" s="10"/>
      <c r="AO73" s="16"/>
      <c r="AP73" s="16"/>
      <c r="AQ73" s="17"/>
      <c r="AR73" s="10"/>
      <c r="AS73" s="16"/>
      <c r="AT73" s="16"/>
      <c r="AU73" s="17"/>
      <c r="AV73" s="10"/>
      <c r="AW73" s="16"/>
      <c r="AX73" s="16"/>
      <c r="AY73" s="17"/>
      <c r="BB73" s="12">
        <f>D73</f>
        <v>0</v>
      </c>
      <c r="BC73" s="13">
        <f>H73</f>
        <v>0</v>
      </c>
      <c r="BD73" s="13">
        <f>L73</f>
        <v>0</v>
      </c>
      <c r="BE73" s="3">
        <f>P73</f>
        <v>0</v>
      </c>
      <c r="BF73" s="3">
        <f>T73</f>
        <v>0</v>
      </c>
      <c r="BG73" s="3">
        <f>X73</f>
        <v>0</v>
      </c>
      <c r="BH73" s="3">
        <f>AB73</f>
        <v>0</v>
      </c>
      <c r="BI73" s="3">
        <f>AF73</f>
        <v>0</v>
      </c>
      <c r="BJ73" s="3">
        <f>AJ73</f>
        <v>0</v>
      </c>
      <c r="BK73" s="3">
        <f>AN73</f>
        <v>0</v>
      </c>
      <c r="BL73" s="3">
        <f>AR73</f>
        <v>0</v>
      </c>
      <c r="BM73" s="4">
        <f>AV73</f>
        <v>0</v>
      </c>
      <c r="BO73" s="159" t="s">
        <v>40</v>
      </c>
      <c r="BP73" s="97" t="str">
        <f t="shared" si="7"/>
        <v/>
      </c>
      <c r="BQ73" s="3" t="e">
        <f t="shared" si="8"/>
        <v>#N/A</v>
      </c>
      <c r="BR73" s="97" t="str">
        <f t="shared" si="9"/>
        <v/>
      </c>
      <c r="BS73" s="4" t="e">
        <f t="shared" si="10"/>
        <v>#N/A</v>
      </c>
    </row>
    <row r="74" spans="1:71" x14ac:dyDescent="0.25">
      <c r="D74" s="10"/>
      <c r="E74" s="16"/>
      <c r="F74" s="16"/>
      <c r="G74" s="16"/>
      <c r="H74" s="10"/>
      <c r="I74" s="16"/>
      <c r="J74" s="16"/>
      <c r="K74" s="17"/>
      <c r="L74" s="10"/>
      <c r="M74" s="16"/>
      <c r="N74" s="16"/>
      <c r="O74" s="17"/>
      <c r="P74" s="10"/>
      <c r="Q74" s="16"/>
      <c r="R74" s="16"/>
      <c r="S74" s="17"/>
      <c r="T74" s="10"/>
      <c r="U74" s="16"/>
      <c r="V74" s="16"/>
      <c r="W74" s="17"/>
      <c r="X74" s="10"/>
      <c r="Y74" s="16"/>
      <c r="Z74" s="16"/>
      <c r="AA74" s="17"/>
      <c r="AB74" s="10"/>
      <c r="AC74" s="16"/>
      <c r="AD74" s="16"/>
      <c r="AE74" s="17"/>
      <c r="AF74" s="58"/>
      <c r="AG74" s="59"/>
      <c r="AH74" s="59"/>
      <c r="AI74" s="60"/>
      <c r="AJ74" s="10"/>
      <c r="AK74" s="16"/>
      <c r="AL74" s="16"/>
      <c r="AM74" s="17"/>
      <c r="AN74" s="10"/>
      <c r="AO74" s="16"/>
      <c r="AP74" s="16"/>
      <c r="AQ74" s="17"/>
      <c r="AR74" s="10"/>
      <c r="AS74" s="16"/>
      <c r="AT74" s="16"/>
      <c r="AU74" s="17"/>
      <c r="AV74" s="10"/>
      <c r="AW74" s="16"/>
      <c r="AX74" s="16"/>
      <c r="AY74" s="17"/>
      <c r="BB74" s="151">
        <f>D74</f>
        <v>0</v>
      </c>
      <c r="BC74" s="152">
        <f>H74</f>
        <v>0</v>
      </c>
      <c r="BD74" s="152">
        <f>L74</f>
        <v>0</v>
      </c>
      <c r="BE74" s="6">
        <f>P74</f>
        <v>0</v>
      </c>
      <c r="BF74" s="6">
        <f>T74</f>
        <v>0</v>
      </c>
      <c r="BG74" s="6">
        <f>X74</f>
        <v>0</v>
      </c>
      <c r="BH74" s="6">
        <f>AB74</f>
        <v>0</v>
      </c>
      <c r="BI74" s="6">
        <f>AF74</f>
        <v>0</v>
      </c>
      <c r="BJ74" s="6">
        <f>AJ74</f>
        <v>0</v>
      </c>
      <c r="BK74" s="6">
        <f>AN74</f>
        <v>0</v>
      </c>
      <c r="BL74" s="6">
        <f>AR74</f>
        <v>0</v>
      </c>
      <c r="BM74" s="7">
        <f>AV74</f>
        <v>0</v>
      </c>
      <c r="BO74" s="159" t="s">
        <v>37</v>
      </c>
      <c r="BP74" s="97" t="str">
        <f t="shared" si="7"/>
        <v/>
      </c>
      <c r="BQ74" s="3" t="e">
        <f t="shared" si="8"/>
        <v>#N/A</v>
      </c>
      <c r="BR74" s="97" t="e">
        <f t="shared" si="9"/>
        <v>#N/A</v>
      </c>
      <c r="BS74" s="4" t="e">
        <f t="shared" si="10"/>
        <v>#N/A</v>
      </c>
    </row>
    <row r="75" spans="1:71" x14ac:dyDescent="0.25">
      <c r="D75" s="18"/>
      <c r="E75" s="19"/>
      <c r="F75" s="19"/>
      <c r="G75" s="19"/>
      <c r="H75" s="18"/>
      <c r="I75" s="19"/>
      <c r="J75" s="19"/>
      <c r="K75" s="20"/>
      <c r="L75" s="18"/>
      <c r="M75" s="19"/>
      <c r="N75" s="19"/>
      <c r="O75" s="20"/>
      <c r="P75" s="18"/>
      <c r="Q75" s="19"/>
      <c r="R75" s="19"/>
      <c r="S75" s="20"/>
      <c r="T75" s="18"/>
      <c r="U75" s="19"/>
      <c r="V75" s="19"/>
      <c r="W75" s="20"/>
      <c r="X75" s="18"/>
      <c r="Y75" s="19"/>
      <c r="Z75" s="19"/>
      <c r="AA75" s="20"/>
      <c r="AB75" s="18"/>
      <c r="AC75" s="19"/>
      <c r="AD75" s="19"/>
      <c r="AE75" s="20"/>
      <c r="AF75" s="61"/>
      <c r="AG75" s="62"/>
      <c r="AH75" s="62"/>
      <c r="AI75" s="63"/>
      <c r="AJ75" s="18"/>
      <c r="AK75" s="19"/>
      <c r="AL75" s="19"/>
      <c r="AM75" s="20"/>
      <c r="AN75" s="18"/>
      <c r="AO75" s="19"/>
      <c r="AP75" s="19"/>
      <c r="AQ75" s="20"/>
      <c r="AR75" s="18"/>
      <c r="AS75" s="19"/>
      <c r="AT75" s="19"/>
      <c r="AU75" s="20"/>
      <c r="AV75" s="18"/>
      <c r="AW75" s="19"/>
      <c r="AX75" s="19"/>
      <c r="AY75" s="20"/>
      <c r="BB75" s="43"/>
      <c r="BO75" s="182" t="s">
        <v>26</v>
      </c>
      <c r="BP75" s="97" t="str">
        <f t="shared" si="7"/>
        <v/>
      </c>
      <c r="BQ75" s="148" t="str">
        <f t="shared" si="8"/>
        <v>2FF6</v>
      </c>
      <c r="BR75" s="21" t="str">
        <f t="shared" si="9"/>
        <v>2FF6</v>
      </c>
      <c r="BS75" s="200" t="str">
        <f t="shared" si="10"/>
        <v>2FF6</v>
      </c>
    </row>
    <row r="76" spans="1:71" x14ac:dyDescent="0.25">
      <c r="BB76" s="43"/>
      <c r="BO76" s="159" t="s">
        <v>42</v>
      </c>
      <c r="BP76" s="97" t="str">
        <f t="shared" si="7"/>
        <v/>
      </c>
      <c r="BQ76" s="3" t="str">
        <f t="shared" si="8"/>
        <v/>
      </c>
      <c r="BR76" s="97" t="e">
        <f t="shared" si="9"/>
        <v>#N/A</v>
      </c>
      <c r="BS76" s="4" t="e">
        <f t="shared" si="10"/>
        <v>#N/A</v>
      </c>
    </row>
    <row r="77" spans="1:71" ht="18.75" x14ac:dyDescent="0.3">
      <c r="D77" s="132">
        <v>2024</v>
      </c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BB77" s="43"/>
      <c r="BO77" s="159" t="s">
        <v>22</v>
      </c>
      <c r="BP77" s="97" t="str">
        <f t="shared" si="7"/>
        <v/>
      </c>
      <c r="BQ77" s="3" t="str">
        <f t="shared" si="8"/>
        <v/>
      </c>
      <c r="BR77" s="97" t="e">
        <f t="shared" si="9"/>
        <v>#N/A</v>
      </c>
      <c r="BS77" s="4" t="e">
        <f t="shared" si="10"/>
        <v>#N/A</v>
      </c>
    </row>
    <row r="78" spans="1:71" x14ac:dyDescent="0.25">
      <c r="D78" s="133" t="s">
        <v>0</v>
      </c>
      <c r="E78" s="134"/>
      <c r="F78" s="134"/>
      <c r="G78" s="135"/>
      <c r="H78" s="126" t="s">
        <v>1</v>
      </c>
      <c r="I78" s="127"/>
      <c r="J78" s="127"/>
      <c r="K78" s="128"/>
      <c r="L78" s="126" t="s">
        <v>2</v>
      </c>
      <c r="M78" s="127"/>
      <c r="N78" s="127"/>
      <c r="O78" s="128"/>
      <c r="P78" s="126" t="s">
        <v>3</v>
      </c>
      <c r="Q78" s="127"/>
      <c r="R78" s="127"/>
      <c r="S78" s="128"/>
      <c r="T78" s="126" t="s">
        <v>4</v>
      </c>
      <c r="U78" s="127"/>
      <c r="V78" s="127"/>
      <c r="W78" s="128"/>
      <c r="X78" s="126" t="s">
        <v>5</v>
      </c>
      <c r="Y78" s="127"/>
      <c r="Z78" s="127"/>
      <c r="AA78" s="128"/>
      <c r="AB78" s="126" t="s">
        <v>6</v>
      </c>
      <c r="AC78" s="127"/>
      <c r="AD78" s="127"/>
      <c r="AE78" s="127"/>
      <c r="AF78" s="129" t="s">
        <v>7</v>
      </c>
      <c r="AG78" s="130"/>
      <c r="AH78" s="130"/>
      <c r="AI78" s="131"/>
      <c r="AJ78" s="126" t="s">
        <v>8</v>
      </c>
      <c r="AK78" s="127"/>
      <c r="AL78" s="127"/>
      <c r="AM78" s="128"/>
      <c r="AN78" s="126" t="s">
        <v>9</v>
      </c>
      <c r="AO78" s="127"/>
      <c r="AP78" s="127"/>
      <c r="AQ78" s="128"/>
      <c r="AR78" s="126" t="s">
        <v>10</v>
      </c>
      <c r="AS78" s="127"/>
      <c r="AT78" s="127"/>
      <c r="AU78" s="128"/>
      <c r="AV78" s="126" t="s">
        <v>11</v>
      </c>
      <c r="AW78" s="127"/>
      <c r="AX78" s="127"/>
      <c r="AY78" s="128"/>
      <c r="BB78" s="153">
        <v>2024</v>
      </c>
      <c r="BC78" s="153"/>
      <c r="BD78" s="153"/>
      <c r="BE78" s="153"/>
      <c r="BF78" s="153"/>
      <c r="BG78" s="153"/>
      <c r="BH78" s="153"/>
      <c r="BI78" s="153"/>
      <c r="BJ78" s="153"/>
      <c r="BK78" s="153"/>
      <c r="BL78" s="153"/>
      <c r="BM78" s="153"/>
      <c r="BO78" s="159" t="s">
        <v>16</v>
      </c>
      <c r="BP78" s="97" t="str">
        <f t="shared" si="7"/>
        <v/>
      </c>
      <c r="BQ78" s="3" t="e">
        <f t="shared" si="8"/>
        <v>#N/A</v>
      </c>
      <c r="BR78" s="97" t="e">
        <f t="shared" si="9"/>
        <v>#N/A</v>
      </c>
      <c r="BS78" s="4" t="e">
        <f t="shared" si="10"/>
        <v>#N/A</v>
      </c>
    </row>
    <row r="79" spans="1:71" x14ac:dyDescent="0.25">
      <c r="A79" s="54" t="s">
        <v>28</v>
      </c>
      <c r="B79" s="26" t="s">
        <v>80</v>
      </c>
      <c r="C79" s="26" t="s">
        <v>95</v>
      </c>
      <c r="D79" s="55" t="s">
        <v>12</v>
      </c>
      <c r="E79" s="56" t="s">
        <v>13</v>
      </c>
      <c r="F79" s="56" t="s">
        <v>14</v>
      </c>
      <c r="G79" s="57" t="s">
        <v>15</v>
      </c>
      <c r="H79" s="51" t="s">
        <v>12</v>
      </c>
      <c r="I79" s="52" t="s">
        <v>13</v>
      </c>
      <c r="J79" s="52" t="s">
        <v>14</v>
      </c>
      <c r="K79" s="53" t="s">
        <v>15</v>
      </c>
      <c r="L79" s="55" t="s">
        <v>12</v>
      </c>
      <c r="M79" s="56" t="s">
        <v>13</v>
      </c>
      <c r="N79" s="56" t="s">
        <v>14</v>
      </c>
      <c r="O79" s="57" t="s">
        <v>15</v>
      </c>
      <c r="P79" s="55" t="s">
        <v>12</v>
      </c>
      <c r="Q79" s="56" t="s">
        <v>13</v>
      </c>
      <c r="R79" s="56" t="s">
        <v>14</v>
      </c>
      <c r="S79" s="57" t="s">
        <v>15</v>
      </c>
      <c r="T79" s="55" t="s">
        <v>12</v>
      </c>
      <c r="U79" s="56" t="s">
        <v>13</v>
      </c>
      <c r="V79" s="56" t="s">
        <v>14</v>
      </c>
      <c r="W79" s="57" t="s">
        <v>15</v>
      </c>
      <c r="X79" s="55" t="s">
        <v>12</v>
      </c>
      <c r="Y79" s="56" t="s">
        <v>13</v>
      </c>
      <c r="Z79" s="56" t="s">
        <v>14</v>
      </c>
      <c r="AA79" s="57" t="s">
        <v>15</v>
      </c>
      <c r="AB79" s="55" t="s">
        <v>12</v>
      </c>
      <c r="AC79" s="56" t="s">
        <v>13</v>
      </c>
      <c r="AD79" s="56" t="s">
        <v>14</v>
      </c>
      <c r="AE79" s="56" t="s">
        <v>15</v>
      </c>
      <c r="AF79" s="55" t="s">
        <v>12</v>
      </c>
      <c r="AG79" s="56" t="s">
        <v>13</v>
      </c>
      <c r="AH79" s="56" t="s">
        <v>14</v>
      </c>
      <c r="AI79" s="57" t="s">
        <v>15</v>
      </c>
      <c r="AJ79" s="55" t="s">
        <v>12</v>
      </c>
      <c r="AK79" s="56" t="s">
        <v>13</v>
      </c>
      <c r="AL79" s="56" t="s">
        <v>14</v>
      </c>
      <c r="AM79" s="57" t="s">
        <v>15</v>
      </c>
      <c r="AN79" s="55" t="s">
        <v>12</v>
      </c>
      <c r="AO79" s="56" t="s">
        <v>13</v>
      </c>
      <c r="AP79" s="56" t="s">
        <v>14</v>
      </c>
      <c r="AQ79" s="57" t="s">
        <v>15</v>
      </c>
      <c r="AR79" s="55" t="s">
        <v>12</v>
      </c>
      <c r="AS79" s="56" t="s">
        <v>13</v>
      </c>
      <c r="AT79" s="56" t="s">
        <v>14</v>
      </c>
      <c r="AU79" s="57" t="s">
        <v>15</v>
      </c>
      <c r="AV79" s="55" t="s">
        <v>12</v>
      </c>
      <c r="AW79" s="56" t="s">
        <v>13</v>
      </c>
      <c r="AX79" s="56" t="s">
        <v>14</v>
      </c>
      <c r="AY79" s="57" t="s">
        <v>15</v>
      </c>
      <c r="BB79" s="150" t="s">
        <v>102</v>
      </c>
      <c r="BC79" s="150" t="s">
        <v>99</v>
      </c>
      <c r="BD79" s="150" t="s">
        <v>100</v>
      </c>
      <c r="BE79" s="150" t="s">
        <v>101</v>
      </c>
      <c r="BF79" s="26" t="s">
        <v>103</v>
      </c>
      <c r="BG79" s="26" t="s">
        <v>104</v>
      </c>
      <c r="BH79" s="26" t="s">
        <v>105</v>
      </c>
      <c r="BI79" s="119" t="s">
        <v>106</v>
      </c>
      <c r="BJ79" s="119" t="s">
        <v>107</v>
      </c>
      <c r="BK79" s="119" t="s">
        <v>108</v>
      </c>
      <c r="BL79" s="119" t="s">
        <v>109</v>
      </c>
      <c r="BM79" s="119" t="s">
        <v>110</v>
      </c>
      <c r="BO79" s="159" t="s">
        <v>18</v>
      </c>
      <c r="BP79" s="97" t="e">
        <f t="shared" si="7"/>
        <v>#N/A</v>
      </c>
      <c r="BQ79" s="3" t="e">
        <f t="shared" si="8"/>
        <v>#N/A</v>
      </c>
      <c r="BR79" s="97" t="str">
        <f t="shared" si="9"/>
        <v/>
      </c>
      <c r="BS79" s="4" t="e">
        <f t="shared" si="10"/>
        <v>#N/A</v>
      </c>
    </row>
    <row r="80" spans="1:71" x14ac:dyDescent="0.25">
      <c r="A80" s="115" t="s">
        <v>24</v>
      </c>
      <c r="B80" s="105" t="s">
        <v>81</v>
      </c>
      <c r="C80" s="118">
        <f>COUNTIF($D$80:$AY$117,A80)</f>
        <v>9</v>
      </c>
      <c r="D80" s="8" t="s">
        <v>18</v>
      </c>
      <c r="E80" s="39" t="s">
        <v>35</v>
      </c>
      <c r="F80" s="39" t="s">
        <v>35</v>
      </c>
      <c r="G80" s="40"/>
      <c r="H80" s="48" t="s">
        <v>18</v>
      </c>
      <c r="I80" s="64" t="s">
        <v>35</v>
      </c>
      <c r="J80" s="64" t="s">
        <v>35</v>
      </c>
      <c r="K80" s="65"/>
      <c r="L80" s="8" t="s">
        <v>18</v>
      </c>
      <c r="M80" s="39" t="s">
        <v>35</v>
      </c>
      <c r="N80" s="39" t="s">
        <v>35</v>
      </c>
      <c r="O80" s="40"/>
      <c r="P80" s="8" t="s">
        <v>18</v>
      </c>
      <c r="Q80" s="39" t="s">
        <v>35</v>
      </c>
      <c r="R80" s="39" t="s">
        <v>35</v>
      </c>
      <c r="S80" s="40"/>
      <c r="T80" s="35" t="s">
        <v>18</v>
      </c>
      <c r="U80" s="34" t="s">
        <v>35</v>
      </c>
      <c r="V80" s="34" t="s">
        <v>35</v>
      </c>
      <c r="W80" s="36"/>
      <c r="X80" s="35" t="s">
        <v>19</v>
      </c>
      <c r="Y80" s="34" t="s">
        <v>35</v>
      </c>
      <c r="Z80" s="34" t="s">
        <v>35</v>
      </c>
      <c r="AA80" s="36"/>
      <c r="AB80" s="35" t="s">
        <v>21</v>
      </c>
      <c r="AC80" s="34"/>
      <c r="AD80" s="34" t="s">
        <v>35</v>
      </c>
      <c r="AE80" s="34"/>
      <c r="AF80" s="35" t="s">
        <v>19</v>
      </c>
      <c r="AG80" s="34" t="s">
        <v>35</v>
      </c>
      <c r="AH80" s="34" t="s">
        <v>35</v>
      </c>
      <c r="AI80" s="36"/>
      <c r="AJ80" s="35" t="s">
        <v>19</v>
      </c>
      <c r="AK80" s="34" t="s">
        <v>35</v>
      </c>
      <c r="AL80" s="34" t="s">
        <v>35</v>
      </c>
      <c r="AM80" s="36"/>
      <c r="AN80" s="35" t="s">
        <v>19</v>
      </c>
      <c r="AO80" s="34" t="s">
        <v>35</v>
      </c>
      <c r="AP80" s="34" t="s">
        <v>35</v>
      </c>
      <c r="AQ80" s="36"/>
      <c r="AR80" s="35" t="s">
        <v>19</v>
      </c>
      <c r="AS80" s="34" t="s">
        <v>35</v>
      </c>
      <c r="AT80" s="34" t="s">
        <v>35</v>
      </c>
      <c r="AU80" s="36"/>
      <c r="AV80" s="35" t="s">
        <v>19</v>
      </c>
      <c r="AW80" s="34" t="s">
        <v>35</v>
      </c>
      <c r="AX80" s="34" t="s">
        <v>35</v>
      </c>
      <c r="AY80" s="36"/>
      <c r="BB80" s="154" t="str">
        <f>D80</f>
        <v>48C6</v>
      </c>
      <c r="BC80" s="155" t="str">
        <f>H80</f>
        <v>48C6</v>
      </c>
      <c r="BD80" s="155" t="str">
        <f>L80</f>
        <v>48C6</v>
      </c>
      <c r="BE80" s="49" t="str">
        <f>P80</f>
        <v>48C6</v>
      </c>
      <c r="BF80" s="49" t="str">
        <f>T80</f>
        <v>48C6</v>
      </c>
      <c r="BG80" s="49" t="str">
        <f>X80</f>
        <v>532E</v>
      </c>
      <c r="BH80" s="49" t="str">
        <f>AB80</f>
        <v>2BBA</v>
      </c>
      <c r="BI80" s="49" t="str">
        <f>AF80</f>
        <v>532E</v>
      </c>
      <c r="BJ80" s="49" t="str">
        <f>AJ80</f>
        <v>532E</v>
      </c>
      <c r="BK80" s="49" t="str">
        <f>AN80</f>
        <v>532E</v>
      </c>
      <c r="BL80" s="49" t="str">
        <f>AR80</f>
        <v>532E</v>
      </c>
      <c r="BM80" s="50" t="str">
        <f>AV80</f>
        <v>532E</v>
      </c>
      <c r="BO80" s="159" t="s">
        <v>25</v>
      </c>
      <c r="BP80" s="97" t="str">
        <f t="shared" si="7"/>
        <v/>
      </c>
      <c r="BQ80" s="3" t="str">
        <f t="shared" si="8"/>
        <v/>
      </c>
      <c r="BR80" s="97" t="e">
        <f t="shared" si="9"/>
        <v>#N/A</v>
      </c>
      <c r="BS80" s="4" t="e">
        <f t="shared" si="10"/>
        <v>#N/A</v>
      </c>
    </row>
    <row r="81" spans="1:71" x14ac:dyDescent="0.25">
      <c r="A81" s="11" t="s">
        <v>26</v>
      </c>
      <c r="B81" s="21" t="s">
        <v>82</v>
      </c>
      <c r="C81" s="118">
        <f t="shared" ref="C81:C93" si="11">COUNTIF($D$80:$AY$117,A81)</f>
        <v>12</v>
      </c>
      <c r="D81" s="8" t="s">
        <v>19</v>
      </c>
      <c r="E81" s="39" t="s">
        <v>35</v>
      </c>
      <c r="F81" s="39" t="s">
        <v>35</v>
      </c>
      <c r="G81" s="40"/>
      <c r="H81" s="8" t="s">
        <v>19</v>
      </c>
      <c r="I81" s="39" t="s">
        <v>35</v>
      </c>
      <c r="J81" s="39" t="s">
        <v>35</v>
      </c>
      <c r="K81" s="40"/>
      <c r="L81" s="8" t="s">
        <v>19</v>
      </c>
      <c r="M81" s="39" t="s">
        <v>35</v>
      </c>
      <c r="N81" s="39" t="s">
        <v>35</v>
      </c>
      <c r="O81" s="40"/>
      <c r="P81" s="8" t="s">
        <v>19</v>
      </c>
      <c r="Q81" s="39" t="s">
        <v>35</v>
      </c>
      <c r="R81" s="39" t="s">
        <v>35</v>
      </c>
      <c r="S81" s="40"/>
      <c r="T81" s="35" t="s">
        <v>19</v>
      </c>
      <c r="U81" s="34" t="s">
        <v>35</v>
      </c>
      <c r="V81" s="34" t="s">
        <v>35</v>
      </c>
      <c r="W81" s="36"/>
      <c r="X81" s="35" t="s">
        <v>21</v>
      </c>
      <c r="Y81" s="34"/>
      <c r="Z81" s="34" t="s">
        <v>35</v>
      </c>
      <c r="AA81" s="36"/>
      <c r="AB81" s="15" t="s">
        <v>24</v>
      </c>
      <c r="AC81" s="34" t="s">
        <v>35</v>
      </c>
      <c r="AD81" s="34" t="s">
        <v>35</v>
      </c>
      <c r="AE81" s="34"/>
      <c r="AF81" s="15" t="s">
        <v>24</v>
      </c>
      <c r="AG81" s="34" t="s">
        <v>35</v>
      </c>
      <c r="AH81" s="34" t="s">
        <v>35</v>
      </c>
      <c r="AI81" s="36"/>
      <c r="AJ81" s="15" t="s">
        <v>24</v>
      </c>
      <c r="AK81" s="34" t="s">
        <v>35</v>
      </c>
      <c r="AL81" s="34" t="s">
        <v>35</v>
      </c>
      <c r="AM81" s="36"/>
      <c r="AN81" s="15" t="s">
        <v>24</v>
      </c>
      <c r="AO81" s="34" t="s">
        <v>35</v>
      </c>
      <c r="AP81" s="34" t="s">
        <v>35</v>
      </c>
      <c r="AQ81" s="36"/>
      <c r="AR81" s="35" t="s">
        <v>21</v>
      </c>
      <c r="AS81" s="34"/>
      <c r="AT81" s="34" t="s">
        <v>35</v>
      </c>
      <c r="AU81" s="36"/>
      <c r="AV81" s="15" t="s">
        <v>24</v>
      </c>
      <c r="AW81" s="34" t="s">
        <v>35</v>
      </c>
      <c r="AX81" s="34" t="s">
        <v>35</v>
      </c>
      <c r="AY81" s="36"/>
      <c r="BB81" s="12" t="str">
        <f>D81</f>
        <v>532E</v>
      </c>
      <c r="BC81" s="13" t="str">
        <f>H81</f>
        <v>532E</v>
      </c>
      <c r="BD81" s="13" t="str">
        <f>L81</f>
        <v>532E</v>
      </c>
      <c r="BE81" s="3" t="str">
        <f>P81</f>
        <v>532E</v>
      </c>
      <c r="BF81" s="3" t="str">
        <f>T81</f>
        <v>532E</v>
      </c>
      <c r="BG81" s="3" t="str">
        <f>X81</f>
        <v>2BBA</v>
      </c>
      <c r="BH81" s="3" t="str">
        <f>AB81</f>
        <v>14D6</v>
      </c>
      <c r="BI81" s="3" t="str">
        <f>AF81</f>
        <v>14D6</v>
      </c>
      <c r="BJ81" s="3" t="str">
        <f>AJ81</f>
        <v>14D6</v>
      </c>
      <c r="BK81" s="3" t="str">
        <f>AN81</f>
        <v>14D6</v>
      </c>
      <c r="BL81" s="3" t="str">
        <f>AR81</f>
        <v>2BBA</v>
      </c>
      <c r="BM81" s="4" t="str">
        <f>AV81</f>
        <v>14D6</v>
      </c>
      <c r="BO81" s="159" t="s">
        <v>19</v>
      </c>
      <c r="BP81" s="97" t="e">
        <f t="shared" si="7"/>
        <v>#N/A</v>
      </c>
      <c r="BQ81" s="3" t="str">
        <f t="shared" si="8"/>
        <v/>
      </c>
      <c r="BR81" s="97" t="e">
        <f t="shared" si="9"/>
        <v>#N/A</v>
      </c>
      <c r="BS81" s="4" t="str">
        <f t="shared" si="10"/>
        <v/>
      </c>
    </row>
    <row r="82" spans="1:71" x14ac:dyDescent="0.25">
      <c r="A82" s="41" t="s">
        <v>29</v>
      </c>
      <c r="B82" s="22" t="s">
        <v>83</v>
      </c>
      <c r="C82" s="118">
        <f t="shared" si="11"/>
        <v>12</v>
      </c>
      <c r="D82" s="9" t="s">
        <v>24</v>
      </c>
      <c r="E82" s="39" t="s">
        <v>35</v>
      </c>
      <c r="F82" s="39" t="s">
        <v>35</v>
      </c>
      <c r="G82" s="40"/>
      <c r="H82" s="8" t="s">
        <v>21</v>
      </c>
      <c r="I82" s="39"/>
      <c r="J82" s="39" t="s">
        <v>35</v>
      </c>
      <c r="K82" s="40"/>
      <c r="L82" s="8" t="s">
        <v>21</v>
      </c>
      <c r="M82" s="39"/>
      <c r="N82" s="39" t="s">
        <v>35</v>
      </c>
      <c r="O82" s="40"/>
      <c r="P82" s="11" t="s">
        <v>26</v>
      </c>
      <c r="Q82" s="39" t="s">
        <v>35</v>
      </c>
      <c r="R82" s="39" t="s">
        <v>35</v>
      </c>
      <c r="S82" s="40"/>
      <c r="T82" s="31" t="s">
        <v>26</v>
      </c>
      <c r="U82" s="34" t="s">
        <v>35</v>
      </c>
      <c r="V82" s="34" t="s">
        <v>35</v>
      </c>
      <c r="W82" s="36"/>
      <c r="X82" s="15" t="s">
        <v>24</v>
      </c>
      <c r="Y82" s="34" t="s">
        <v>35</v>
      </c>
      <c r="Z82" s="34" t="s">
        <v>35</v>
      </c>
      <c r="AA82" s="36"/>
      <c r="AB82" s="31" t="s">
        <v>26</v>
      </c>
      <c r="AC82" s="34" t="s">
        <v>35</v>
      </c>
      <c r="AD82" s="34" t="s">
        <v>35</v>
      </c>
      <c r="AE82" s="34"/>
      <c r="AF82" s="31" t="s">
        <v>26</v>
      </c>
      <c r="AG82" s="34" t="s">
        <v>35</v>
      </c>
      <c r="AH82" s="34" t="s">
        <v>35</v>
      </c>
      <c r="AI82" s="36"/>
      <c r="AJ82" s="31" t="s">
        <v>26</v>
      </c>
      <c r="AK82" s="34" t="s">
        <v>35</v>
      </c>
      <c r="AL82" s="34" t="s">
        <v>35</v>
      </c>
      <c r="AM82" s="36"/>
      <c r="AN82" s="31" t="s">
        <v>26</v>
      </c>
      <c r="AO82" s="34" t="s">
        <v>35</v>
      </c>
      <c r="AP82" s="34" t="s">
        <v>35</v>
      </c>
      <c r="AQ82" s="36"/>
      <c r="AR82" s="15" t="s">
        <v>24</v>
      </c>
      <c r="AS82" s="34" t="s">
        <v>35</v>
      </c>
      <c r="AT82" s="34" t="s">
        <v>35</v>
      </c>
      <c r="AU82" s="36"/>
      <c r="AV82" s="31" t="s">
        <v>26</v>
      </c>
      <c r="AW82" s="34" t="s">
        <v>35</v>
      </c>
      <c r="AX82" s="34" t="s">
        <v>35</v>
      </c>
      <c r="AY82" s="36"/>
      <c r="BB82" s="12" t="str">
        <f>D82</f>
        <v>14D6</v>
      </c>
      <c r="BC82" s="13" t="str">
        <f>H82</f>
        <v>2BBA</v>
      </c>
      <c r="BD82" s="13" t="str">
        <f>L82</f>
        <v>2BBA</v>
      </c>
      <c r="BE82" s="3" t="str">
        <f>P82</f>
        <v>2FF6</v>
      </c>
      <c r="BF82" s="3" t="str">
        <f>T82</f>
        <v>2FF6</v>
      </c>
      <c r="BG82" s="3" t="str">
        <f>X82</f>
        <v>14D6</v>
      </c>
      <c r="BH82" s="3" t="str">
        <f>AB82</f>
        <v>2FF6</v>
      </c>
      <c r="BI82" s="3" t="str">
        <f>AF82</f>
        <v>2FF6</v>
      </c>
      <c r="BJ82" s="3" t="str">
        <f>AJ82</f>
        <v>2FF6</v>
      </c>
      <c r="BK82" s="3" t="str">
        <f>AN82</f>
        <v>2FF6</v>
      </c>
      <c r="BL82" s="3" t="str">
        <f>AR82</f>
        <v>14D6</v>
      </c>
      <c r="BM82" s="4" t="str">
        <f>AV82</f>
        <v>2FF6</v>
      </c>
      <c r="BO82" s="159" t="s">
        <v>38</v>
      </c>
      <c r="BP82" s="97" t="str">
        <f t="shared" si="7"/>
        <v/>
      </c>
      <c r="BQ82" s="3" t="e">
        <f t="shared" si="8"/>
        <v>#N/A</v>
      </c>
      <c r="BR82" s="97" t="e">
        <f t="shared" si="9"/>
        <v>#N/A</v>
      </c>
      <c r="BS82" s="4" t="e">
        <f t="shared" si="10"/>
        <v>#N/A</v>
      </c>
    </row>
    <row r="83" spans="1:71" x14ac:dyDescent="0.25">
      <c r="A83" s="44">
        <v>1712</v>
      </c>
      <c r="B83" s="23" t="s">
        <v>84</v>
      </c>
      <c r="C83" s="110">
        <f t="shared" si="11"/>
        <v>11</v>
      </c>
      <c r="D83" s="11" t="s">
        <v>26</v>
      </c>
      <c r="E83" s="39" t="s">
        <v>35</v>
      </c>
      <c r="F83" s="39" t="s">
        <v>35</v>
      </c>
      <c r="G83" s="40"/>
      <c r="H83" s="9" t="s">
        <v>24</v>
      </c>
      <c r="I83" s="39" t="s">
        <v>35</v>
      </c>
      <c r="J83" s="39" t="s">
        <v>35</v>
      </c>
      <c r="K83" s="40"/>
      <c r="L83" s="11" t="s">
        <v>26</v>
      </c>
      <c r="M83" s="39" t="s">
        <v>35</v>
      </c>
      <c r="N83" s="39" t="s">
        <v>35</v>
      </c>
      <c r="O83" s="40"/>
      <c r="P83" s="8">
        <v>2492</v>
      </c>
      <c r="Q83" s="39" t="s">
        <v>35</v>
      </c>
      <c r="R83" s="39" t="s">
        <v>35</v>
      </c>
      <c r="S83" s="40"/>
      <c r="T83" s="35">
        <v>2492</v>
      </c>
      <c r="U83" s="34" t="s">
        <v>35</v>
      </c>
      <c r="V83" s="34" t="s">
        <v>35</v>
      </c>
      <c r="W83" s="36"/>
      <c r="X83" s="31" t="s">
        <v>26</v>
      </c>
      <c r="Y83" s="34" t="s">
        <v>35</v>
      </c>
      <c r="Z83" s="34" t="s">
        <v>35</v>
      </c>
      <c r="AA83" s="36"/>
      <c r="AB83" s="35">
        <v>2492</v>
      </c>
      <c r="AC83" s="34" t="s">
        <v>35</v>
      </c>
      <c r="AD83" s="34" t="s">
        <v>35</v>
      </c>
      <c r="AE83" s="34"/>
      <c r="AF83" s="35">
        <v>2492</v>
      </c>
      <c r="AG83" s="34" t="s">
        <v>35</v>
      </c>
      <c r="AH83" s="34" t="s">
        <v>35</v>
      </c>
      <c r="AI83" s="36"/>
      <c r="AJ83" s="35">
        <v>2492</v>
      </c>
      <c r="AK83" s="34" t="s">
        <v>35</v>
      </c>
      <c r="AL83" s="34" t="s">
        <v>35</v>
      </c>
      <c r="AM83" s="36"/>
      <c r="AN83" s="35">
        <v>2492</v>
      </c>
      <c r="AO83" s="34" t="s">
        <v>35</v>
      </c>
      <c r="AP83" s="34" t="s">
        <v>35</v>
      </c>
      <c r="AQ83" s="36"/>
      <c r="AR83" s="31" t="s">
        <v>26</v>
      </c>
      <c r="AS83" s="34" t="s">
        <v>35</v>
      </c>
      <c r="AT83" s="34" t="s">
        <v>35</v>
      </c>
      <c r="AU83" s="36"/>
      <c r="AV83" s="35">
        <v>2492</v>
      </c>
      <c r="AW83" s="34" t="s">
        <v>35</v>
      </c>
      <c r="AX83" s="34" t="s">
        <v>35</v>
      </c>
      <c r="AY83" s="36"/>
      <c r="BB83" s="12" t="str">
        <f>D83</f>
        <v>2FF6</v>
      </c>
      <c r="BC83" s="13" t="str">
        <f>H83</f>
        <v>14D6</v>
      </c>
      <c r="BD83" s="13" t="str">
        <f>L83</f>
        <v>2FF6</v>
      </c>
      <c r="BE83" s="3">
        <f>P83</f>
        <v>2492</v>
      </c>
      <c r="BF83" s="3">
        <f>T83</f>
        <v>2492</v>
      </c>
      <c r="BG83" s="3" t="str">
        <f>X83</f>
        <v>2FF6</v>
      </c>
      <c r="BH83" s="3">
        <f>AB83</f>
        <v>2492</v>
      </c>
      <c r="BI83" s="3">
        <f>AF83</f>
        <v>2492</v>
      </c>
      <c r="BJ83" s="3">
        <f>AJ83</f>
        <v>2492</v>
      </c>
      <c r="BK83" s="3">
        <f>AN83</f>
        <v>2492</v>
      </c>
      <c r="BL83" s="3" t="str">
        <f>AR83</f>
        <v>2FF6</v>
      </c>
      <c r="BM83" s="4">
        <f>AV83</f>
        <v>2492</v>
      </c>
      <c r="BO83" s="159" t="s">
        <v>20</v>
      </c>
      <c r="BP83" s="97" t="str">
        <f t="shared" si="7"/>
        <v/>
      </c>
      <c r="BQ83" s="3" t="e">
        <f t="shared" si="8"/>
        <v>#N/A</v>
      </c>
      <c r="BR83" s="97" t="e">
        <f t="shared" si="9"/>
        <v>#N/A</v>
      </c>
      <c r="BS83" s="4" t="e">
        <f t="shared" si="10"/>
        <v>#N/A</v>
      </c>
    </row>
    <row r="84" spans="1:71" x14ac:dyDescent="0.25">
      <c r="A84" s="42" t="s">
        <v>30</v>
      </c>
      <c r="B84" s="24" t="s">
        <v>85</v>
      </c>
      <c r="C84" s="110">
        <f t="shared" si="11"/>
        <v>10</v>
      </c>
      <c r="D84" s="78" t="s">
        <v>32</v>
      </c>
      <c r="E84" s="39" t="s">
        <v>35</v>
      </c>
      <c r="F84" s="39" t="s">
        <v>35</v>
      </c>
      <c r="G84" s="40" t="s">
        <v>35</v>
      </c>
      <c r="H84" s="11" t="s">
        <v>26</v>
      </c>
      <c r="I84" s="39" t="s">
        <v>35</v>
      </c>
      <c r="J84" s="39" t="s">
        <v>35</v>
      </c>
      <c r="K84" s="40"/>
      <c r="L84" s="8">
        <v>2492</v>
      </c>
      <c r="M84" s="39" t="s">
        <v>35</v>
      </c>
      <c r="N84" s="39" t="s">
        <v>35</v>
      </c>
      <c r="O84" s="40"/>
      <c r="P84" s="78" t="s">
        <v>32</v>
      </c>
      <c r="Q84" s="39" t="s">
        <v>35</v>
      </c>
      <c r="R84" s="39" t="s">
        <v>35</v>
      </c>
      <c r="S84" s="40" t="s">
        <v>35</v>
      </c>
      <c r="T84" s="78" t="s">
        <v>32</v>
      </c>
      <c r="U84" s="34" t="s">
        <v>35</v>
      </c>
      <c r="V84" s="34" t="s">
        <v>35</v>
      </c>
      <c r="W84" s="36" t="s">
        <v>35</v>
      </c>
      <c r="X84" s="35">
        <v>2492</v>
      </c>
      <c r="Y84" s="34" t="s">
        <v>35</v>
      </c>
      <c r="Z84" s="34" t="s">
        <v>35</v>
      </c>
      <c r="AA84" s="36"/>
      <c r="AB84" s="78" t="s">
        <v>32</v>
      </c>
      <c r="AC84" s="34" t="s">
        <v>35</v>
      </c>
      <c r="AD84" s="34" t="s">
        <v>35</v>
      </c>
      <c r="AE84" s="34" t="s">
        <v>35</v>
      </c>
      <c r="AF84" s="78" t="s">
        <v>32</v>
      </c>
      <c r="AG84" s="34" t="s">
        <v>35</v>
      </c>
      <c r="AH84" s="34" t="s">
        <v>35</v>
      </c>
      <c r="AI84" s="36" t="s">
        <v>35</v>
      </c>
      <c r="AJ84" s="78" t="s">
        <v>32</v>
      </c>
      <c r="AK84" s="34" t="s">
        <v>35</v>
      </c>
      <c r="AL84" s="34" t="s">
        <v>35</v>
      </c>
      <c r="AM84" s="36" t="s">
        <v>35</v>
      </c>
      <c r="AN84" s="78" t="s">
        <v>32</v>
      </c>
      <c r="AO84" s="34" t="s">
        <v>35</v>
      </c>
      <c r="AP84" s="34" t="s">
        <v>35</v>
      </c>
      <c r="AQ84" s="36" t="s">
        <v>35</v>
      </c>
      <c r="AR84" s="35">
        <v>2492</v>
      </c>
      <c r="AS84" s="34" t="s">
        <v>35</v>
      </c>
      <c r="AT84" s="34" t="s">
        <v>35</v>
      </c>
      <c r="AU84" s="36"/>
      <c r="AV84" s="32" t="s">
        <v>29</v>
      </c>
      <c r="AW84" s="34" t="s">
        <v>35</v>
      </c>
      <c r="AX84" s="34" t="s">
        <v>35</v>
      </c>
      <c r="AY84" s="36" t="s">
        <v>35</v>
      </c>
      <c r="BB84" s="12" t="str">
        <f>D84</f>
        <v>06BE</v>
      </c>
      <c r="BC84" s="13" t="str">
        <f>H84</f>
        <v>2FF6</v>
      </c>
      <c r="BD84" s="13">
        <f>L84</f>
        <v>2492</v>
      </c>
      <c r="BE84" s="3" t="str">
        <f>P84</f>
        <v>06BE</v>
      </c>
      <c r="BF84" s="3" t="str">
        <f>T84</f>
        <v>06BE</v>
      </c>
      <c r="BG84" s="3">
        <f>X84</f>
        <v>2492</v>
      </c>
      <c r="BH84" s="3" t="str">
        <f>AB84</f>
        <v>06BE</v>
      </c>
      <c r="BI84" s="3" t="str">
        <f>AF84</f>
        <v>06BE</v>
      </c>
      <c r="BJ84" s="3" t="str">
        <f>AJ84</f>
        <v>06BE</v>
      </c>
      <c r="BK84" s="3" t="str">
        <f>AN84</f>
        <v>06BE</v>
      </c>
      <c r="BL84" s="3">
        <f>AR84</f>
        <v>2492</v>
      </c>
      <c r="BM84" s="4" t="str">
        <f>AV84</f>
        <v>F1AE</v>
      </c>
      <c r="BO84" s="159" t="s">
        <v>39</v>
      </c>
      <c r="BP84" s="97" t="str">
        <f t="shared" si="7"/>
        <v/>
      </c>
      <c r="BQ84" s="3" t="str">
        <f t="shared" si="8"/>
        <v/>
      </c>
      <c r="BR84" s="97" t="e">
        <f t="shared" si="9"/>
        <v>#N/A</v>
      </c>
      <c r="BS84" s="4" t="e">
        <f t="shared" si="10"/>
        <v>#N/A</v>
      </c>
    </row>
    <row r="85" spans="1:71" x14ac:dyDescent="0.25">
      <c r="A85" s="45" t="s">
        <v>31</v>
      </c>
      <c r="B85" s="25" t="s">
        <v>86</v>
      </c>
      <c r="C85" s="110">
        <f t="shared" si="11"/>
        <v>6</v>
      </c>
      <c r="D85" s="41" t="s">
        <v>29</v>
      </c>
      <c r="E85" s="39" t="s">
        <v>35</v>
      </c>
      <c r="F85" s="39" t="s">
        <v>35</v>
      </c>
      <c r="G85" s="40" t="s">
        <v>35</v>
      </c>
      <c r="H85" s="78" t="s">
        <v>32</v>
      </c>
      <c r="I85" s="39" t="s">
        <v>35</v>
      </c>
      <c r="J85" s="39" t="s">
        <v>35</v>
      </c>
      <c r="K85" s="40" t="s">
        <v>35</v>
      </c>
      <c r="L85" s="78" t="s">
        <v>32</v>
      </c>
      <c r="M85" s="39" t="s">
        <v>35</v>
      </c>
      <c r="N85" s="39" t="s">
        <v>35</v>
      </c>
      <c r="O85" s="40" t="s">
        <v>35</v>
      </c>
      <c r="P85" s="41" t="s">
        <v>29</v>
      </c>
      <c r="Q85" s="39" t="s">
        <v>35</v>
      </c>
      <c r="R85" s="39" t="s">
        <v>35</v>
      </c>
      <c r="S85" s="40" t="s">
        <v>35</v>
      </c>
      <c r="T85" s="32" t="s">
        <v>29</v>
      </c>
      <c r="U85" s="34" t="s">
        <v>35</v>
      </c>
      <c r="V85" s="34" t="s">
        <v>35</v>
      </c>
      <c r="W85" s="36" t="s">
        <v>35</v>
      </c>
      <c r="X85" s="78" t="s">
        <v>32</v>
      </c>
      <c r="Y85" s="34" t="s">
        <v>35</v>
      </c>
      <c r="Z85" s="34" t="s">
        <v>35</v>
      </c>
      <c r="AA85" s="36" t="s">
        <v>35</v>
      </c>
      <c r="AB85" s="32" t="s">
        <v>29</v>
      </c>
      <c r="AC85" s="34" t="s">
        <v>35</v>
      </c>
      <c r="AD85" s="34" t="s">
        <v>35</v>
      </c>
      <c r="AE85" s="34" t="s">
        <v>35</v>
      </c>
      <c r="AF85" s="32" t="s">
        <v>29</v>
      </c>
      <c r="AG85" s="34" t="s">
        <v>35</v>
      </c>
      <c r="AH85" s="34" t="s">
        <v>35</v>
      </c>
      <c r="AI85" s="36" t="s">
        <v>35</v>
      </c>
      <c r="AJ85" s="32" t="s">
        <v>29</v>
      </c>
      <c r="AK85" s="34" t="s">
        <v>35</v>
      </c>
      <c r="AL85" s="34" t="s">
        <v>35</v>
      </c>
      <c r="AM85" s="36" t="s">
        <v>35</v>
      </c>
      <c r="AN85" s="32" t="s">
        <v>29</v>
      </c>
      <c r="AO85" s="34" t="s">
        <v>35</v>
      </c>
      <c r="AP85" s="34" t="s">
        <v>35</v>
      </c>
      <c r="AQ85" s="36" t="s">
        <v>35</v>
      </c>
      <c r="AR85" s="78" t="s">
        <v>32</v>
      </c>
      <c r="AS85" s="34" t="s">
        <v>35</v>
      </c>
      <c r="AT85" s="34" t="s">
        <v>35</v>
      </c>
      <c r="AU85" s="36" t="s">
        <v>35</v>
      </c>
      <c r="AV85" s="35" t="s">
        <v>40</v>
      </c>
      <c r="AW85" s="34" t="s">
        <v>35</v>
      </c>
      <c r="AX85" s="34" t="s">
        <v>35</v>
      </c>
      <c r="AY85" s="36"/>
      <c r="BB85" s="12" t="str">
        <f>D85</f>
        <v>F1AE</v>
      </c>
      <c r="BC85" s="13" t="str">
        <f>H85</f>
        <v>06BE</v>
      </c>
      <c r="BD85" s="13" t="str">
        <f>L85</f>
        <v>06BE</v>
      </c>
      <c r="BE85" s="3" t="str">
        <f>P85</f>
        <v>F1AE</v>
      </c>
      <c r="BF85" s="3" t="str">
        <f>T85</f>
        <v>F1AE</v>
      </c>
      <c r="BG85" s="3" t="str">
        <f>X85</f>
        <v>06BE</v>
      </c>
      <c r="BH85" s="3" t="str">
        <f>AB85</f>
        <v>F1AE</v>
      </c>
      <c r="BI85" s="3" t="str">
        <f>AF85</f>
        <v>F1AE</v>
      </c>
      <c r="BJ85" s="3" t="str">
        <f>AJ85</f>
        <v>F1AE</v>
      </c>
      <c r="BK85" s="3" t="str">
        <f>AN85</f>
        <v>F1AE</v>
      </c>
      <c r="BL85" s="3" t="str">
        <f>AR85</f>
        <v>06BE</v>
      </c>
      <c r="BM85" s="4" t="str">
        <f>AV85</f>
        <v>2E9A</v>
      </c>
      <c r="BO85" s="181" t="s">
        <v>29</v>
      </c>
      <c r="BP85" s="97" t="str">
        <f t="shared" si="7"/>
        <v/>
      </c>
      <c r="BQ85" s="198" t="str">
        <f t="shared" si="8"/>
        <v>F1AE</v>
      </c>
      <c r="BR85" s="22" t="str">
        <f t="shared" si="9"/>
        <v>F1AE</v>
      </c>
      <c r="BS85" s="199" t="str">
        <f t="shared" si="10"/>
        <v>F1AE</v>
      </c>
    </row>
    <row r="86" spans="1:71" x14ac:dyDescent="0.25">
      <c r="A86" s="99" t="s">
        <v>32</v>
      </c>
      <c r="B86" s="99" t="s">
        <v>87</v>
      </c>
      <c r="C86" s="118">
        <f t="shared" si="11"/>
        <v>11</v>
      </c>
      <c r="D86" s="8" t="s">
        <v>40</v>
      </c>
      <c r="E86" s="39" t="s">
        <v>35</v>
      </c>
      <c r="F86" s="39" t="s">
        <v>35</v>
      </c>
      <c r="G86" s="40"/>
      <c r="H86" s="41" t="s">
        <v>29</v>
      </c>
      <c r="I86" s="39" t="s">
        <v>35</v>
      </c>
      <c r="J86" s="39" t="s">
        <v>35</v>
      </c>
      <c r="K86" s="40" t="s">
        <v>35</v>
      </c>
      <c r="L86" s="41" t="s">
        <v>29</v>
      </c>
      <c r="M86" s="39" t="s">
        <v>35</v>
      </c>
      <c r="N86" s="39" t="s">
        <v>35</v>
      </c>
      <c r="O86" s="40" t="s">
        <v>35</v>
      </c>
      <c r="P86" s="8" t="s">
        <v>43</v>
      </c>
      <c r="Q86" s="39" t="s">
        <v>35</v>
      </c>
      <c r="R86" s="39" t="s">
        <v>35</v>
      </c>
      <c r="S86" s="40"/>
      <c r="T86" s="35" t="s">
        <v>43</v>
      </c>
      <c r="U86" s="34" t="s">
        <v>35</v>
      </c>
      <c r="V86" s="34" t="s">
        <v>35</v>
      </c>
      <c r="W86" s="36"/>
      <c r="X86" s="32" t="s">
        <v>29</v>
      </c>
      <c r="Y86" s="34" t="s">
        <v>35</v>
      </c>
      <c r="Z86" s="34" t="s">
        <v>35</v>
      </c>
      <c r="AA86" s="36" t="s">
        <v>35</v>
      </c>
      <c r="AB86" s="35">
        <v>2852</v>
      </c>
      <c r="AC86" s="34" t="s">
        <v>35</v>
      </c>
      <c r="AD86" s="34" t="s">
        <v>35</v>
      </c>
      <c r="AE86" s="34"/>
      <c r="AF86" s="35" t="s">
        <v>40</v>
      </c>
      <c r="AG86" s="34" t="s">
        <v>35</v>
      </c>
      <c r="AH86" s="34" t="s">
        <v>35</v>
      </c>
      <c r="AI86" s="36"/>
      <c r="AJ86" s="35" t="s">
        <v>40</v>
      </c>
      <c r="AK86" s="34" t="s">
        <v>35</v>
      </c>
      <c r="AL86" s="34" t="s">
        <v>35</v>
      </c>
      <c r="AM86" s="36"/>
      <c r="AN86" s="35" t="s">
        <v>43</v>
      </c>
      <c r="AO86" s="34" t="s">
        <v>35</v>
      </c>
      <c r="AP86" s="34" t="s">
        <v>35</v>
      </c>
      <c r="AQ86" s="36"/>
      <c r="AR86" s="32" t="s">
        <v>29</v>
      </c>
      <c r="AS86" s="34" t="s">
        <v>35</v>
      </c>
      <c r="AT86" s="34" t="s">
        <v>35</v>
      </c>
      <c r="AU86" s="36" t="s">
        <v>35</v>
      </c>
      <c r="AV86" s="35" t="s">
        <v>43</v>
      </c>
      <c r="AW86" s="34" t="s">
        <v>35</v>
      </c>
      <c r="AX86" s="34" t="s">
        <v>35</v>
      </c>
      <c r="AY86" s="36"/>
      <c r="BB86" s="12" t="str">
        <f>D86</f>
        <v>2E9A</v>
      </c>
      <c r="BC86" s="13" t="str">
        <f>H86</f>
        <v>F1AE</v>
      </c>
      <c r="BD86" s="13" t="str">
        <f>L86</f>
        <v>F1AE</v>
      </c>
      <c r="BE86" s="3" t="str">
        <f>P86</f>
        <v>1A1E</v>
      </c>
      <c r="BF86" s="3" t="str">
        <f>T86</f>
        <v>1A1E</v>
      </c>
      <c r="BG86" s="3" t="str">
        <f>X86</f>
        <v>F1AE</v>
      </c>
      <c r="BH86" s="3">
        <f>AB86</f>
        <v>2852</v>
      </c>
      <c r="BI86" s="3" t="str">
        <f>AF86</f>
        <v>2E9A</v>
      </c>
      <c r="BJ86" s="3" t="str">
        <f>AJ86</f>
        <v>2E9A</v>
      </c>
      <c r="BK86" s="3" t="str">
        <f>AN86</f>
        <v>1A1E</v>
      </c>
      <c r="BL86" s="3" t="str">
        <f>AR86</f>
        <v>F1AE</v>
      </c>
      <c r="BM86" s="4" t="str">
        <f>AV86</f>
        <v>1A1E</v>
      </c>
      <c r="BO86" s="159" t="s">
        <v>33</v>
      </c>
      <c r="BP86" s="97" t="str">
        <f t="shared" si="7"/>
        <v/>
      </c>
      <c r="BQ86" s="3" t="e">
        <f t="shared" si="8"/>
        <v>#N/A</v>
      </c>
      <c r="BR86" s="97" t="e">
        <f t="shared" si="9"/>
        <v>#N/A</v>
      </c>
      <c r="BS86" s="4" t="e">
        <f t="shared" si="10"/>
        <v>#N/A</v>
      </c>
    </row>
    <row r="87" spans="1:71" x14ac:dyDescent="0.25">
      <c r="A87" s="100" t="s">
        <v>75</v>
      </c>
      <c r="B87" s="100" t="s">
        <v>88</v>
      </c>
      <c r="C87" s="110">
        <f t="shared" si="11"/>
        <v>3</v>
      </c>
      <c r="D87" s="8" t="s">
        <v>49</v>
      </c>
      <c r="E87" s="39" t="s">
        <v>35</v>
      </c>
      <c r="F87" s="39" t="s">
        <v>35</v>
      </c>
      <c r="G87" s="40"/>
      <c r="H87" s="8" t="s">
        <v>40</v>
      </c>
      <c r="I87" s="39" t="s">
        <v>35</v>
      </c>
      <c r="J87" s="39" t="s">
        <v>35</v>
      </c>
      <c r="K87" s="40"/>
      <c r="L87" s="8" t="s">
        <v>40</v>
      </c>
      <c r="M87" s="39" t="s">
        <v>35</v>
      </c>
      <c r="N87" s="39" t="s">
        <v>35</v>
      </c>
      <c r="O87" s="40"/>
      <c r="P87" s="8">
        <v>1282</v>
      </c>
      <c r="Q87" s="39" t="s">
        <v>35</v>
      </c>
      <c r="R87" s="39" t="s">
        <v>35</v>
      </c>
      <c r="S87" s="40"/>
      <c r="T87" s="35">
        <v>1282</v>
      </c>
      <c r="U87" s="34" t="s">
        <v>35</v>
      </c>
      <c r="V87" s="34" t="s">
        <v>35</v>
      </c>
      <c r="W87" s="36"/>
      <c r="X87" s="35" t="s">
        <v>41</v>
      </c>
      <c r="Y87" s="34" t="s">
        <v>35</v>
      </c>
      <c r="Z87" s="34" t="s">
        <v>35</v>
      </c>
      <c r="AA87" s="36"/>
      <c r="AB87" s="35" t="s">
        <v>43</v>
      </c>
      <c r="AC87" s="34" t="s">
        <v>35</v>
      </c>
      <c r="AD87" s="34" t="s">
        <v>35</v>
      </c>
      <c r="AE87" s="34"/>
      <c r="AF87" s="35" t="s">
        <v>43</v>
      </c>
      <c r="AG87" s="34" t="s">
        <v>35</v>
      </c>
      <c r="AH87" s="34" t="s">
        <v>35</v>
      </c>
      <c r="AI87" s="36"/>
      <c r="AJ87" s="35" t="s">
        <v>43</v>
      </c>
      <c r="AK87" s="34" t="s">
        <v>35</v>
      </c>
      <c r="AL87" s="34" t="s">
        <v>35</v>
      </c>
      <c r="AM87" s="36"/>
      <c r="AN87" s="35" t="s">
        <v>46</v>
      </c>
      <c r="AO87" s="34" t="s">
        <v>35</v>
      </c>
      <c r="AP87" s="34" t="s">
        <v>35</v>
      </c>
      <c r="AQ87" s="36"/>
      <c r="AR87" s="35" t="s">
        <v>40</v>
      </c>
      <c r="AS87" s="34" t="s">
        <v>35</v>
      </c>
      <c r="AT87" s="34" t="s">
        <v>35</v>
      </c>
      <c r="AU87" s="36"/>
      <c r="AV87" s="35">
        <v>1106</v>
      </c>
      <c r="AW87" s="34" t="s">
        <v>35</v>
      </c>
      <c r="AX87" s="34" t="s">
        <v>35</v>
      </c>
      <c r="AY87" s="36"/>
      <c r="BB87" s="12" t="str">
        <f>D87</f>
        <v>4B1A</v>
      </c>
      <c r="BC87" s="13" t="str">
        <f>H87</f>
        <v>2E9A</v>
      </c>
      <c r="BD87" s="13" t="str">
        <f>L87</f>
        <v>2E9A</v>
      </c>
      <c r="BE87" s="3">
        <f>P87</f>
        <v>1282</v>
      </c>
      <c r="BF87" s="3">
        <f>T87</f>
        <v>1282</v>
      </c>
      <c r="BG87" s="3" t="str">
        <f>X87</f>
        <v>1EE6</v>
      </c>
      <c r="BH87" s="3" t="str">
        <f>AB87</f>
        <v>1A1E</v>
      </c>
      <c r="BI87" s="3" t="str">
        <f>AF87</f>
        <v>1A1E</v>
      </c>
      <c r="BJ87" s="3" t="str">
        <f>AJ87</f>
        <v>1A1E</v>
      </c>
      <c r="BK87" s="3" t="str">
        <f>AN87</f>
        <v>F212</v>
      </c>
      <c r="BL87" s="3" t="str">
        <f>AR87</f>
        <v>2E9A</v>
      </c>
      <c r="BM87" s="4">
        <f>AV87</f>
        <v>1106</v>
      </c>
      <c r="BO87" s="158">
        <v>1106</v>
      </c>
      <c r="BP87" s="97" t="e">
        <f t="shared" si="7"/>
        <v>#N/A</v>
      </c>
      <c r="BQ87" s="3" t="str">
        <f t="shared" si="8"/>
        <v/>
      </c>
      <c r="BR87" s="97" t="e">
        <f t="shared" si="9"/>
        <v>#N/A</v>
      </c>
      <c r="BS87" s="4" t="e">
        <f t="shared" si="10"/>
        <v>#N/A</v>
      </c>
    </row>
    <row r="88" spans="1:71" x14ac:dyDescent="0.25">
      <c r="A88" s="101" t="s">
        <v>76</v>
      </c>
      <c r="B88" s="101" t="s">
        <v>89</v>
      </c>
      <c r="C88" s="110">
        <f t="shared" si="11"/>
        <v>3</v>
      </c>
      <c r="D88" s="44">
        <v>1712</v>
      </c>
      <c r="E88" s="39" t="s">
        <v>35</v>
      </c>
      <c r="F88" s="39" t="s">
        <v>35</v>
      </c>
      <c r="G88" s="40"/>
      <c r="H88" s="8">
        <v>1282</v>
      </c>
      <c r="I88" s="39" t="s">
        <v>35</v>
      </c>
      <c r="J88" s="39" t="s">
        <v>35</v>
      </c>
      <c r="K88" s="40"/>
      <c r="L88" s="8" t="s">
        <v>43</v>
      </c>
      <c r="M88" s="39" t="s">
        <v>35</v>
      </c>
      <c r="N88" s="39" t="s">
        <v>35</v>
      </c>
      <c r="O88" s="40"/>
      <c r="P88" s="8" t="s">
        <v>49</v>
      </c>
      <c r="Q88" s="39" t="s">
        <v>35</v>
      </c>
      <c r="R88" s="39" t="s">
        <v>35</v>
      </c>
      <c r="S88" s="40"/>
      <c r="T88" s="35" t="s">
        <v>49</v>
      </c>
      <c r="U88" s="34" t="s">
        <v>35</v>
      </c>
      <c r="V88" s="34" t="s">
        <v>35</v>
      </c>
      <c r="W88" s="36"/>
      <c r="X88" s="35">
        <v>2852</v>
      </c>
      <c r="Y88" s="34" t="s">
        <v>35</v>
      </c>
      <c r="Z88" s="34" t="s">
        <v>35</v>
      </c>
      <c r="AA88" s="36"/>
      <c r="AB88" s="35">
        <v>1282</v>
      </c>
      <c r="AC88" s="34" t="s">
        <v>35</v>
      </c>
      <c r="AD88" s="34" t="s">
        <v>35</v>
      </c>
      <c r="AE88" s="34"/>
      <c r="AF88" s="35">
        <v>1282</v>
      </c>
      <c r="AG88" s="34" t="s">
        <v>35</v>
      </c>
      <c r="AH88" s="34" t="s">
        <v>35</v>
      </c>
      <c r="AI88" s="36"/>
      <c r="AJ88" s="35" t="s">
        <v>46</v>
      </c>
      <c r="AK88" s="34" t="s">
        <v>35</v>
      </c>
      <c r="AL88" s="34" t="s">
        <v>35</v>
      </c>
      <c r="AM88" s="36"/>
      <c r="AN88" s="35">
        <v>1106</v>
      </c>
      <c r="AO88" s="34" t="s">
        <v>35</v>
      </c>
      <c r="AP88" s="34" t="s">
        <v>35</v>
      </c>
      <c r="AQ88" s="36"/>
      <c r="AR88" s="35" t="s">
        <v>43</v>
      </c>
      <c r="AS88" s="34" t="s">
        <v>35</v>
      </c>
      <c r="AT88" s="34" t="s">
        <v>35</v>
      </c>
      <c r="AU88" s="36"/>
      <c r="AV88" s="38">
        <v>1712</v>
      </c>
      <c r="AW88" s="34" t="s">
        <v>35</v>
      </c>
      <c r="AX88" s="34" t="s">
        <v>35</v>
      </c>
      <c r="AY88" s="36"/>
      <c r="BB88" s="12">
        <f>D88</f>
        <v>1712</v>
      </c>
      <c r="BC88" s="13">
        <f>H88</f>
        <v>1282</v>
      </c>
      <c r="BD88" s="13" t="str">
        <f>L88</f>
        <v>1A1E</v>
      </c>
      <c r="BE88" s="3" t="str">
        <f>P88</f>
        <v>4B1A</v>
      </c>
      <c r="BF88" s="3" t="str">
        <f>T88</f>
        <v>4B1A</v>
      </c>
      <c r="BG88" s="3">
        <f>X88</f>
        <v>2852</v>
      </c>
      <c r="BH88" s="3">
        <f>AB88</f>
        <v>1282</v>
      </c>
      <c r="BI88" s="3">
        <f>AF88</f>
        <v>1282</v>
      </c>
      <c r="BJ88" s="3" t="str">
        <f>AJ88</f>
        <v>F212</v>
      </c>
      <c r="BK88" s="3">
        <f>AN88</f>
        <v>1106</v>
      </c>
      <c r="BL88" s="3" t="str">
        <f>AR88</f>
        <v>1A1E</v>
      </c>
      <c r="BM88" s="4">
        <f>AV88</f>
        <v>1712</v>
      </c>
      <c r="BO88" s="180">
        <v>1712</v>
      </c>
      <c r="BP88" s="97" t="e">
        <f t="shared" si="7"/>
        <v>#N/A</v>
      </c>
      <c r="BQ88" s="198">
        <f t="shared" si="8"/>
        <v>1712</v>
      </c>
      <c r="BR88" s="22">
        <f t="shared" si="9"/>
        <v>1712</v>
      </c>
      <c r="BS88" s="199">
        <f t="shared" si="10"/>
        <v>1712</v>
      </c>
    </row>
    <row r="89" spans="1:71" x14ac:dyDescent="0.25">
      <c r="A89" s="102" t="s">
        <v>77</v>
      </c>
      <c r="B89" s="102" t="s">
        <v>90</v>
      </c>
      <c r="C89" s="110">
        <f t="shared" si="11"/>
        <v>1</v>
      </c>
      <c r="D89" s="42" t="s">
        <v>30</v>
      </c>
      <c r="E89" s="39" t="s">
        <v>35</v>
      </c>
      <c r="F89" s="39" t="s">
        <v>35</v>
      </c>
      <c r="G89" s="40"/>
      <c r="H89" s="8" t="s">
        <v>47</v>
      </c>
      <c r="I89" s="39" t="s">
        <v>35</v>
      </c>
      <c r="J89" s="39" t="s">
        <v>35</v>
      </c>
      <c r="K89" s="40"/>
      <c r="L89" s="8">
        <v>1282</v>
      </c>
      <c r="M89" s="39" t="s">
        <v>35</v>
      </c>
      <c r="N89" s="39" t="s">
        <v>35</v>
      </c>
      <c r="O89" s="40"/>
      <c r="P89" s="8">
        <v>1106</v>
      </c>
      <c r="Q89" s="39" t="s">
        <v>35</v>
      </c>
      <c r="R89" s="39" t="s">
        <v>35</v>
      </c>
      <c r="S89" s="40"/>
      <c r="T89" s="35">
        <v>1106</v>
      </c>
      <c r="U89" s="34" t="s">
        <v>35</v>
      </c>
      <c r="V89" s="34" t="s">
        <v>35</v>
      </c>
      <c r="W89" s="36"/>
      <c r="X89" s="35" t="s">
        <v>43</v>
      </c>
      <c r="Y89" s="34" t="s">
        <v>35</v>
      </c>
      <c r="Z89" s="34" t="s">
        <v>35</v>
      </c>
      <c r="AA89" s="36"/>
      <c r="AB89" s="35" t="s">
        <v>49</v>
      </c>
      <c r="AC89" s="34" t="s">
        <v>35</v>
      </c>
      <c r="AD89" s="34" t="s">
        <v>35</v>
      </c>
      <c r="AE89" s="34"/>
      <c r="AF89" s="35" t="s">
        <v>46</v>
      </c>
      <c r="AG89" s="34" t="s">
        <v>35</v>
      </c>
      <c r="AH89" s="34" t="s">
        <v>35</v>
      </c>
      <c r="AI89" s="36"/>
      <c r="AJ89" s="35">
        <v>1106</v>
      </c>
      <c r="AK89" s="34" t="s">
        <v>35</v>
      </c>
      <c r="AL89" s="34" t="s">
        <v>35</v>
      </c>
      <c r="AM89" s="36"/>
      <c r="AN89" s="38">
        <v>1712</v>
      </c>
      <c r="AO89" s="34" t="s">
        <v>35</v>
      </c>
      <c r="AP89" s="34" t="s">
        <v>35</v>
      </c>
      <c r="AQ89" s="36"/>
      <c r="AR89" s="35" t="s">
        <v>46</v>
      </c>
      <c r="AS89" s="34" t="s">
        <v>35</v>
      </c>
      <c r="AT89" s="34" t="s">
        <v>35</v>
      </c>
      <c r="AU89" s="36"/>
      <c r="AV89" s="35">
        <v>3782</v>
      </c>
      <c r="AW89" s="34" t="s">
        <v>35</v>
      </c>
      <c r="AX89" s="34" t="s">
        <v>35</v>
      </c>
      <c r="AY89" s="36"/>
      <c r="BB89" s="12" t="str">
        <f>D89</f>
        <v>307A</v>
      </c>
      <c r="BC89" s="13" t="str">
        <f>H89</f>
        <v>D89A</v>
      </c>
      <c r="BD89" s="13">
        <f>L89</f>
        <v>1282</v>
      </c>
      <c r="BE89" s="3">
        <f>P89</f>
        <v>1106</v>
      </c>
      <c r="BF89" s="3">
        <f>T89</f>
        <v>1106</v>
      </c>
      <c r="BG89" s="3" t="str">
        <f>X89</f>
        <v>1A1E</v>
      </c>
      <c r="BH89" s="3" t="str">
        <f>AB89</f>
        <v>4B1A</v>
      </c>
      <c r="BI89" s="3" t="str">
        <f>AF89</f>
        <v>F212</v>
      </c>
      <c r="BJ89" s="3">
        <f>AJ89</f>
        <v>1106</v>
      </c>
      <c r="BK89" s="3">
        <f>AN89</f>
        <v>1712</v>
      </c>
      <c r="BL89" s="3" t="str">
        <f>AR89</f>
        <v>F212</v>
      </c>
      <c r="BM89" s="4">
        <f>AV89</f>
        <v>3782</v>
      </c>
      <c r="BO89" s="159">
        <v>3782</v>
      </c>
      <c r="BP89" s="97" t="e">
        <f t="shared" si="7"/>
        <v>#N/A</v>
      </c>
      <c r="BQ89" s="3" t="str">
        <f t="shared" si="8"/>
        <v/>
      </c>
      <c r="BR89" s="97" t="str">
        <f t="shared" si="9"/>
        <v/>
      </c>
      <c r="BS89" s="4" t="e">
        <f t="shared" si="10"/>
        <v>#N/A</v>
      </c>
    </row>
    <row r="90" spans="1:71" x14ac:dyDescent="0.25">
      <c r="A90" s="103" t="s">
        <v>65</v>
      </c>
      <c r="B90" s="103" t="s">
        <v>91</v>
      </c>
      <c r="C90" s="110">
        <f t="shared" si="11"/>
        <v>5</v>
      </c>
      <c r="D90" s="8" t="s">
        <v>54</v>
      </c>
      <c r="E90" s="39" t="s">
        <v>35</v>
      </c>
      <c r="F90" s="39" t="s">
        <v>35</v>
      </c>
      <c r="G90" s="40"/>
      <c r="H90" s="8" t="s">
        <v>49</v>
      </c>
      <c r="I90" s="39" t="s">
        <v>35</v>
      </c>
      <c r="J90" s="39" t="s">
        <v>35</v>
      </c>
      <c r="K90" s="40"/>
      <c r="L90" s="8" t="s">
        <v>45</v>
      </c>
      <c r="M90" s="39" t="s">
        <v>35</v>
      </c>
      <c r="N90" s="39" t="s">
        <v>35</v>
      </c>
      <c r="O90" s="40"/>
      <c r="P90" s="8" t="s">
        <v>54</v>
      </c>
      <c r="Q90" s="39" t="s">
        <v>35</v>
      </c>
      <c r="R90" s="39" t="s">
        <v>35</v>
      </c>
      <c r="S90" s="40"/>
      <c r="T90" s="38">
        <v>1712</v>
      </c>
      <c r="U90" s="34" t="s">
        <v>35</v>
      </c>
      <c r="V90" s="34" t="s">
        <v>35</v>
      </c>
      <c r="W90" s="36"/>
      <c r="X90" s="35">
        <v>1282</v>
      </c>
      <c r="Y90" s="34" t="s">
        <v>35</v>
      </c>
      <c r="Z90" s="34" t="s">
        <v>35</v>
      </c>
      <c r="AA90" s="36"/>
      <c r="AB90" s="35">
        <v>1106</v>
      </c>
      <c r="AC90" s="34" t="s">
        <v>35</v>
      </c>
      <c r="AD90" s="34" t="s">
        <v>35</v>
      </c>
      <c r="AE90" s="34"/>
      <c r="AF90" s="35" t="s">
        <v>49</v>
      </c>
      <c r="AG90" s="34" t="s">
        <v>35</v>
      </c>
      <c r="AH90" s="34" t="s">
        <v>35</v>
      </c>
      <c r="AI90" s="36"/>
      <c r="AJ90" s="38">
        <v>1712</v>
      </c>
      <c r="AK90" s="34" t="s">
        <v>35</v>
      </c>
      <c r="AL90" s="34" t="s">
        <v>35</v>
      </c>
      <c r="AM90" s="36"/>
      <c r="AN90" s="35">
        <v>3782</v>
      </c>
      <c r="AO90" s="34" t="s">
        <v>35</v>
      </c>
      <c r="AP90" s="34" t="s">
        <v>35</v>
      </c>
      <c r="AQ90" s="36"/>
      <c r="AR90" s="35">
        <v>1106</v>
      </c>
      <c r="AS90" s="34" t="s">
        <v>35</v>
      </c>
      <c r="AT90" s="34" t="s">
        <v>35</v>
      </c>
      <c r="AU90" s="36"/>
      <c r="AV90" s="37" t="s">
        <v>30</v>
      </c>
      <c r="AW90" s="34" t="s">
        <v>35</v>
      </c>
      <c r="AX90" s="34" t="s">
        <v>35</v>
      </c>
      <c r="AY90" s="36"/>
      <c r="BB90" s="12" t="str">
        <f>D90</f>
        <v>422A</v>
      </c>
      <c r="BC90" s="13" t="str">
        <f>H90</f>
        <v>4B1A</v>
      </c>
      <c r="BD90" s="13" t="str">
        <f>L90</f>
        <v>2B42</v>
      </c>
      <c r="BE90" s="3" t="str">
        <f>P90</f>
        <v>422A</v>
      </c>
      <c r="BF90" s="3">
        <f>T90</f>
        <v>1712</v>
      </c>
      <c r="BG90" s="3">
        <f>X90</f>
        <v>1282</v>
      </c>
      <c r="BH90" s="3">
        <f>AB90</f>
        <v>1106</v>
      </c>
      <c r="BI90" s="3" t="str">
        <f>AF90</f>
        <v>4B1A</v>
      </c>
      <c r="BJ90" s="3">
        <f>AJ90</f>
        <v>1712</v>
      </c>
      <c r="BK90" s="3">
        <f>AN90</f>
        <v>3782</v>
      </c>
      <c r="BL90" s="3">
        <f>AR90</f>
        <v>1106</v>
      </c>
      <c r="BM90" s="4" t="str">
        <f>AV90</f>
        <v>307A</v>
      </c>
      <c r="BO90" s="159">
        <v>5636</v>
      </c>
      <c r="BP90" s="97" t="e">
        <f t="shared" si="7"/>
        <v>#N/A</v>
      </c>
      <c r="BQ90" s="3" t="str">
        <f t="shared" si="8"/>
        <v/>
      </c>
      <c r="BR90" s="97" t="e">
        <f t="shared" si="9"/>
        <v>#N/A</v>
      </c>
      <c r="BS90" s="4" t="str">
        <f t="shared" si="10"/>
        <v/>
      </c>
    </row>
    <row r="91" spans="1:71" x14ac:dyDescent="0.25">
      <c r="A91" s="104" t="s">
        <v>68</v>
      </c>
      <c r="B91" s="104" t="s">
        <v>92</v>
      </c>
      <c r="C91" s="110">
        <f t="shared" si="11"/>
        <v>5</v>
      </c>
      <c r="D91" s="8" t="s">
        <v>55</v>
      </c>
      <c r="E91" s="39" t="s">
        <v>35</v>
      </c>
      <c r="F91" s="39" t="s">
        <v>35</v>
      </c>
      <c r="G91" s="40"/>
      <c r="H91" s="35" t="s">
        <v>50</v>
      </c>
      <c r="I91" s="39" t="s">
        <v>35</v>
      </c>
      <c r="J91" s="39" t="s">
        <v>35</v>
      </c>
      <c r="K91" s="40"/>
      <c r="L91" s="8" t="s">
        <v>47</v>
      </c>
      <c r="M91" s="39" t="s">
        <v>35</v>
      </c>
      <c r="N91" s="39" t="s">
        <v>35</v>
      </c>
      <c r="O91" s="40"/>
      <c r="P91" s="8" t="s">
        <v>55</v>
      </c>
      <c r="Q91" s="39" t="s">
        <v>35</v>
      </c>
      <c r="R91" s="39" t="s">
        <v>35</v>
      </c>
      <c r="S91" s="40"/>
      <c r="T91" s="37" t="s">
        <v>30</v>
      </c>
      <c r="U91" s="34" t="s">
        <v>35</v>
      </c>
      <c r="V91" s="34" t="s">
        <v>35</v>
      </c>
      <c r="W91" s="36"/>
      <c r="X91" s="35" t="s">
        <v>47</v>
      </c>
      <c r="Y91" s="34" t="s">
        <v>35</v>
      </c>
      <c r="Z91" s="34" t="s">
        <v>35</v>
      </c>
      <c r="AA91" s="36"/>
      <c r="AB91" s="38">
        <v>1712</v>
      </c>
      <c r="AC91" s="34" t="s">
        <v>35</v>
      </c>
      <c r="AD91" s="34" t="s">
        <v>35</v>
      </c>
      <c r="AE91" s="34"/>
      <c r="AF91" s="35">
        <v>1106</v>
      </c>
      <c r="AG91" s="34" t="s">
        <v>35</v>
      </c>
      <c r="AH91" s="34" t="s">
        <v>35</v>
      </c>
      <c r="AI91" s="36"/>
      <c r="AJ91" s="35">
        <v>3782</v>
      </c>
      <c r="AK91" s="34" t="s">
        <v>35</v>
      </c>
      <c r="AL91" s="34" t="s">
        <v>35</v>
      </c>
      <c r="AM91" s="36"/>
      <c r="AN91" s="37" t="s">
        <v>30</v>
      </c>
      <c r="AO91" s="34" t="s">
        <v>35</v>
      </c>
      <c r="AP91" s="34" t="s">
        <v>35</v>
      </c>
      <c r="AQ91" s="36"/>
      <c r="AR91" s="38">
        <v>1712</v>
      </c>
      <c r="AS91" s="34" t="s">
        <v>35</v>
      </c>
      <c r="AT91" s="34" t="s">
        <v>35</v>
      </c>
      <c r="AU91" s="36"/>
      <c r="AV91" s="35" t="s">
        <v>55</v>
      </c>
      <c r="AW91" s="34" t="s">
        <v>35</v>
      </c>
      <c r="AX91" s="34" t="s">
        <v>35</v>
      </c>
      <c r="AY91" s="36"/>
      <c r="BB91" s="12" t="str">
        <f>D91</f>
        <v>421A</v>
      </c>
      <c r="BC91" s="13" t="str">
        <f>H91</f>
        <v>25CE</v>
      </c>
      <c r="BD91" s="13" t="str">
        <f>L91</f>
        <v>D89A</v>
      </c>
      <c r="BE91" s="3" t="str">
        <f>P91</f>
        <v>421A</v>
      </c>
      <c r="BF91" s="3" t="str">
        <f>T91</f>
        <v>307A</v>
      </c>
      <c r="BG91" s="3" t="str">
        <f>X91</f>
        <v>D89A</v>
      </c>
      <c r="BH91" s="3">
        <f>AB91</f>
        <v>1712</v>
      </c>
      <c r="BI91" s="3">
        <f>AF91</f>
        <v>1106</v>
      </c>
      <c r="BJ91" s="3">
        <f>AJ91</f>
        <v>3782</v>
      </c>
      <c r="BK91" s="3" t="str">
        <f>AN91</f>
        <v>307A</v>
      </c>
      <c r="BL91" s="3">
        <f>AR91</f>
        <v>1712</v>
      </c>
      <c r="BM91" s="4" t="str">
        <f>AV91</f>
        <v>421A</v>
      </c>
      <c r="BO91" s="159" t="s">
        <v>50</v>
      </c>
      <c r="BP91" s="97" t="e">
        <f t="shared" si="7"/>
        <v>#N/A</v>
      </c>
      <c r="BQ91" s="3" t="e">
        <f t="shared" si="8"/>
        <v>#N/A</v>
      </c>
      <c r="BR91" s="97" t="str">
        <f t="shared" si="9"/>
        <v/>
      </c>
      <c r="BS91" s="4" t="e">
        <f t="shared" si="10"/>
        <v>#N/A</v>
      </c>
    </row>
    <row r="92" spans="1:71" x14ac:dyDescent="0.25">
      <c r="A92" s="111" t="s">
        <v>69</v>
      </c>
      <c r="B92" s="111" t="s">
        <v>93</v>
      </c>
      <c r="C92" s="110">
        <f t="shared" si="11"/>
        <v>6</v>
      </c>
      <c r="D92" s="8" t="s">
        <v>56</v>
      </c>
      <c r="E92" s="39" t="s">
        <v>35</v>
      </c>
      <c r="F92" s="39" t="s">
        <v>35</v>
      </c>
      <c r="G92" s="40"/>
      <c r="H92" s="8">
        <v>1106</v>
      </c>
      <c r="I92" s="39" t="s">
        <v>35</v>
      </c>
      <c r="J92" s="39" t="s">
        <v>35</v>
      </c>
      <c r="K92" s="40"/>
      <c r="L92" s="8" t="s">
        <v>49</v>
      </c>
      <c r="M92" s="39" t="s">
        <v>35</v>
      </c>
      <c r="N92" s="39" t="s">
        <v>35</v>
      </c>
      <c r="O92" s="40"/>
      <c r="P92" s="8" t="s">
        <v>57</v>
      </c>
      <c r="Q92" s="39" t="s">
        <v>35</v>
      </c>
      <c r="R92" s="39" t="s">
        <v>35</v>
      </c>
      <c r="S92" s="40"/>
      <c r="T92" s="35" t="s">
        <v>55</v>
      </c>
      <c r="U92" s="34" t="s">
        <v>35</v>
      </c>
      <c r="V92" s="34" t="s">
        <v>35</v>
      </c>
      <c r="W92" s="36"/>
      <c r="X92" s="35" t="s">
        <v>49</v>
      </c>
      <c r="Y92" s="34" t="s">
        <v>35</v>
      </c>
      <c r="Z92" s="34" t="s">
        <v>35</v>
      </c>
      <c r="AA92" s="36"/>
      <c r="AB92" s="35">
        <v>3782</v>
      </c>
      <c r="AC92" s="34" t="s">
        <v>35</v>
      </c>
      <c r="AD92" s="34" t="s">
        <v>35</v>
      </c>
      <c r="AE92" s="34"/>
      <c r="AF92" s="38">
        <v>1712</v>
      </c>
      <c r="AG92" s="34" t="s">
        <v>35</v>
      </c>
      <c r="AH92" s="34" t="s">
        <v>35</v>
      </c>
      <c r="AI92" s="36"/>
      <c r="AJ92" s="37" t="s">
        <v>30</v>
      </c>
      <c r="AK92" s="34" t="s">
        <v>35</v>
      </c>
      <c r="AL92" s="34" t="s">
        <v>35</v>
      </c>
      <c r="AM92" s="36"/>
      <c r="AN92" s="35" t="s">
        <v>55</v>
      </c>
      <c r="AO92" s="34" t="s">
        <v>35</v>
      </c>
      <c r="AP92" s="34" t="s">
        <v>35</v>
      </c>
      <c r="AQ92" s="36"/>
      <c r="AR92" s="35">
        <v>3782</v>
      </c>
      <c r="AS92" s="34" t="s">
        <v>35</v>
      </c>
      <c r="AT92" s="34" t="s">
        <v>35</v>
      </c>
      <c r="AU92" s="36"/>
      <c r="AV92" s="35" t="s">
        <v>60</v>
      </c>
      <c r="AW92" s="34" t="s">
        <v>35</v>
      </c>
      <c r="AX92" s="34" t="s">
        <v>35</v>
      </c>
      <c r="AY92" s="36"/>
      <c r="BB92" s="12" t="str">
        <f>D92</f>
        <v>3BEA</v>
      </c>
      <c r="BC92" s="13">
        <f>H92</f>
        <v>1106</v>
      </c>
      <c r="BD92" s="13" t="str">
        <f>L92</f>
        <v>4B1A</v>
      </c>
      <c r="BE92" s="3" t="str">
        <f>P92</f>
        <v>39D6</v>
      </c>
      <c r="BF92" s="3" t="str">
        <f>T92</f>
        <v>421A</v>
      </c>
      <c r="BG92" s="3" t="str">
        <f>X92</f>
        <v>4B1A</v>
      </c>
      <c r="BH92" s="3">
        <f>AB92</f>
        <v>3782</v>
      </c>
      <c r="BI92" s="3">
        <f>AF92</f>
        <v>1712</v>
      </c>
      <c r="BJ92" s="3" t="str">
        <f>AJ92</f>
        <v>307A</v>
      </c>
      <c r="BK92" s="3" t="str">
        <f>AN92</f>
        <v>421A</v>
      </c>
      <c r="BL92" s="3">
        <f>AR92</f>
        <v>3782</v>
      </c>
      <c r="BM92" s="4" t="str">
        <f>AV92</f>
        <v>3B7E</v>
      </c>
      <c r="BO92" s="159" t="s">
        <v>53</v>
      </c>
      <c r="BP92" s="97" t="e">
        <f t="shared" si="7"/>
        <v>#N/A</v>
      </c>
      <c r="BQ92" s="3" t="e">
        <f t="shared" si="8"/>
        <v>#N/A</v>
      </c>
      <c r="BR92" s="97" t="e">
        <f t="shared" si="9"/>
        <v>#N/A</v>
      </c>
      <c r="BS92" s="4" t="e">
        <f t="shared" si="10"/>
        <v>#N/A</v>
      </c>
    </row>
    <row r="93" spans="1:71" x14ac:dyDescent="0.25">
      <c r="A93" s="112" t="s">
        <v>79</v>
      </c>
      <c r="B93" s="112" t="s">
        <v>94</v>
      </c>
      <c r="C93" s="110">
        <f t="shared" si="11"/>
        <v>0</v>
      </c>
      <c r="D93" s="8" t="s">
        <v>58</v>
      </c>
      <c r="E93" s="39" t="s">
        <v>35</v>
      </c>
      <c r="F93" s="39" t="s">
        <v>35</v>
      </c>
      <c r="G93" s="40"/>
      <c r="H93" s="44">
        <v>1712</v>
      </c>
      <c r="I93" s="39" t="s">
        <v>35</v>
      </c>
      <c r="J93" s="39" t="s">
        <v>35</v>
      </c>
      <c r="K93" s="40"/>
      <c r="L93" s="8" t="s">
        <v>50</v>
      </c>
      <c r="M93" s="39" t="s">
        <v>35</v>
      </c>
      <c r="N93" s="39" t="s">
        <v>35</v>
      </c>
      <c r="O93" s="40"/>
      <c r="P93" s="8" t="s">
        <v>58</v>
      </c>
      <c r="Q93" s="39" t="s">
        <v>35</v>
      </c>
      <c r="R93" s="39" t="s">
        <v>35</v>
      </c>
      <c r="S93" s="40"/>
      <c r="T93" s="35" t="s">
        <v>57</v>
      </c>
      <c r="U93" s="34" t="s">
        <v>35</v>
      </c>
      <c r="V93" s="34" t="s">
        <v>35</v>
      </c>
      <c r="W93" s="36"/>
      <c r="X93" s="35">
        <v>1106</v>
      </c>
      <c r="Y93" s="34" t="s">
        <v>35</v>
      </c>
      <c r="Z93" s="34" t="s">
        <v>35</v>
      </c>
      <c r="AA93" s="36"/>
      <c r="AB93" s="37" t="s">
        <v>30</v>
      </c>
      <c r="AC93" s="34" t="s">
        <v>35</v>
      </c>
      <c r="AD93" s="34" t="s">
        <v>35</v>
      </c>
      <c r="AE93" s="34"/>
      <c r="AF93" s="35">
        <v>3782</v>
      </c>
      <c r="AG93" s="34" t="s">
        <v>35</v>
      </c>
      <c r="AH93" s="34" t="s">
        <v>35</v>
      </c>
      <c r="AI93" s="36"/>
      <c r="AJ93" s="35" t="s">
        <v>55</v>
      </c>
      <c r="AK93" s="34" t="s">
        <v>35</v>
      </c>
      <c r="AL93" s="34" t="s">
        <v>35</v>
      </c>
      <c r="AM93" s="36"/>
      <c r="AN93" s="35" t="s">
        <v>58</v>
      </c>
      <c r="AO93" s="34" t="s">
        <v>35</v>
      </c>
      <c r="AP93" s="34" t="s">
        <v>35</v>
      </c>
      <c r="AQ93" s="36"/>
      <c r="AR93" s="37" t="s">
        <v>30</v>
      </c>
      <c r="AS93" s="34" t="s">
        <v>35</v>
      </c>
      <c r="AT93" s="34" t="s">
        <v>35</v>
      </c>
      <c r="AU93" s="36"/>
      <c r="AV93" s="92" t="s">
        <v>65</v>
      </c>
      <c r="AW93" s="34" t="s">
        <v>35</v>
      </c>
      <c r="AX93" s="34" t="s">
        <v>35</v>
      </c>
      <c r="AY93" s="36"/>
      <c r="BB93" s="12" t="str">
        <f>D93</f>
        <v>2BDE</v>
      </c>
      <c r="BC93" s="13">
        <f>H93</f>
        <v>1712</v>
      </c>
      <c r="BD93" s="13" t="str">
        <f>L93</f>
        <v>25CE</v>
      </c>
      <c r="BE93" s="3" t="str">
        <f>P93</f>
        <v>2BDE</v>
      </c>
      <c r="BF93" s="3" t="str">
        <f>T93</f>
        <v>39D6</v>
      </c>
      <c r="BG93" s="3">
        <f>X93</f>
        <v>1106</v>
      </c>
      <c r="BH93" s="3" t="str">
        <f>AB93</f>
        <v>307A</v>
      </c>
      <c r="BI93" s="3">
        <f>AF93</f>
        <v>3782</v>
      </c>
      <c r="BJ93" s="3" t="str">
        <f>AJ93</f>
        <v>421A</v>
      </c>
      <c r="BK93" s="3" t="str">
        <f>AN93</f>
        <v>2BDE</v>
      </c>
      <c r="BL93" s="3" t="str">
        <f>AR93</f>
        <v>307A</v>
      </c>
      <c r="BM93" s="4" t="str">
        <f>AV93</f>
        <v>B7BE</v>
      </c>
      <c r="BO93" s="159" t="s">
        <v>45</v>
      </c>
      <c r="BP93" s="97" t="e">
        <f t="shared" si="7"/>
        <v>#N/A</v>
      </c>
      <c r="BQ93" s="3" t="e">
        <f t="shared" si="8"/>
        <v>#N/A</v>
      </c>
      <c r="BR93" s="97" t="str">
        <f t="shared" si="9"/>
        <v/>
      </c>
      <c r="BS93" s="4" t="e">
        <f t="shared" si="10"/>
        <v>#N/A</v>
      </c>
    </row>
    <row r="94" spans="1:71" x14ac:dyDescent="0.25">
      <c r="D94" s="8">
        <v>5636</v>
      </c>
      <c r="E94" s="39" t="s">
        <v>35</v>
      </c>
      <c r="F94" s="39" t="s">
        <v>35</v>
      </c>
      <c r="G94" s="40"/>
      <c r="H94" s="42" t="s">
        <v>30</v>
      </c>
      <c r="I94" s="39" t="s">
        <v>35</v>
      </c>
      <c r="J94" s="39" t="s">
        <v>35</v>
      </c>
      <c r="K94" s="40"/>
      <c r="L94" s="8">
        <v>1106</v>
      </c>
      <c r="M94" s="39" t="s">
        <v>35</v>
      </c>
      <c r="N94" s="39" t="s">
        <v>35</v>
      </c>
      <c r="O94" s="40"/>
      <c r="P94" s="8">
        <v>5636</v>
      </c>
      <c r="Q94" s="39" t="s">
        <v>35</v>
      </c>
      <c r="R94" s="39" t="s">
        <v>35</v>
      </c>
      <c r="S94" s="40"/>
      <c r="T94" s="35" t="s">
        <v>58</v>
      </c>
      <c r="U94" s="34" t="s">
        <v>35</v>
      </c>
      <c r="V94" s="34" t="s">
        <v>35</v>
      </c>
      <c r="W94" s="36"/>
      <c r="X94" s="38">
        <v>1712</v>
      </c>
      <c r="Y94" s="34" t="s">
        <v>35</v>
      </c>
      <c r="Z94" s="34" t="s">
        <v>35</v>
      </c>
      <c r="AA94" s="36"/>
      <c r="AB94" s="35" t="s">
        <v>55</v>
      </c>
      <c r="AC94" s="34" t="s">
        <v>35</v>
      </c>
      <c r="AD94" s="34" t="s">
        <v>35</v>
      </c>
      <c r="AE94" s="34"/>
      <c r="AF94" s="37" t="s">
        <v>30</v>
      </c>
      <c r="AG94" s="34" t="s">
        <v>35</v>
      </c>
      <c r="AH94" s="34" t="s">
        <v>35</v>
      </c>
      <c r="AI94" s="36"/>
      <c r="AJ94" s="35" t="s">
        <v>58</v>
      </c>
      <c r="AK94" s="34" t="s">
        <v>35</v>
      </c>
      <c r="AL94" s="34" t="s">
        <v>35</v>
      </c>
      <c r="AM94" s="36"/>
      <c r="AN94" s="35">
        <v>5636</v>
      </c>
      <c r="AO94" s="34" t="s">
        <v>35</v>
      </c>
      <c r="AP94" s="34" t="s">
        <v>35</v>
      </c>
      <c r="AQ94" s="36"/>
      <c r="AR94" s="35" t="s">
        <v>55</v>
      </c>
      <c r="AS94" s="34" t="s">
        <v>35</v>
      </c>
      <c r="AT94" s="34" t="s">
        <v>35</v>
      </c>
      <c r="AU94" s="36"/>
      <c r="AV94" s="35" t="s">
        <v>66</v>
      </c>
      <c r="AW94" s="34" t="s">
        <v>35</v>
      </c>
      <c r="AX94" s="34" t="s">
        <v>35</v>
      </c>
      <c r="AY94" s="36"/>
      <c r="BB94" s="12">
        <f>D94</f>
        <v>5636</v>
      </c>
      <c r="BC94" s="13" t="str">
        <f>H94</f>
        <v>307A</v>
      </c>
      <c r="BD94" s="13">
        <f>L94</f>
        <v>1106</v>
      </c>
      <c r="BE94" s="3">
        <f>P94</f>
        <v>5636</v>
      </c>
      <c r="BF94" s="3" t="str">
        <f>T94</f>
        <v>2BDE</v>
      </c>
      <c r="BG94" s="3">
        <f>X94</f>
        <v>1712</v>
      </c>
      <c r="BH94" s="3" t="str">
        <f>AB94</f>
        <v>421A</v>
      </c>
      <c r="BI94" s="3" t="str">
        <f>AF94</f>
        <v>307A</v>
      </c>
      <c r="BJ94" s="3" t="str">
        <f>AJ94</f>
        <v>2BDE</v>
      </c>
      <c r="BK94" s="3">
        <f>AN94</f>
        <v>5636</v>
      </c>
      <c r="BL94" s="3" t="str">
        <f>AR94</f>
        <v>421A</v>
      </c>
      <c r="BM94" s="4" t="str">
        <f>AV94</f>
        <v>A682</v>
      </c>
      <c r="BO94" s="159" t="s">
        <v>58</v>
      </c>
      <c r="BP94" s="97" t="e">
        <f t="shared" si="7"/>
        <v>#N/A</v>
      </c>
      <c r="BQ94" s="3" t="str">
        <f t="shared" si="8"/>
        <v/>
      </c>
      <c r="BR94" s="97" t="e">
        <f t="shared" si="9"/>
        <v>#N/A</v>
      </c>
      <c r="BS94" s="4" t="str">
        <f t="shared" si="10"/>
        <v/>
      </c>
    </row>
    <row r="95" spans="1:71" x14ac:dyDescent="0.25">
      <c r="D95" s="8" t="s">
        <v>59</v>
      </c>
      <c r="E95" s="39" t="s">
        <v>35</v>
      </c>
      <c r="F95" s="39" t="s">
        <v>35</v>
      </c>
      <c r="G95" s="40"/>
      <c r="H95" s="8" t="s">
        <v>54</v>
      </c>
      <c r="I95" s="39" t="s">
        <v>35</v>
      </c>
      <c r="J95" s="39" t="s">
        <v>35</v>
      </c>
      <c r="K95" s="40"/>
      <c r="L95" s="44">
        <v>1712</v>
      </c>
      <c r="M95" s="39" t="s">
        <v>35</v>
      </c>
      <c r="N95" s="39" t="s">
        <v>35</v>
      </c>
      <c r="O95" s="40"/>
      <c r="P95" s="8" t="s">
        <v>59</v>
      </c>
      <c r="Q95" s="39" t="s">
        <v>35</v>
      </c>
      <c r="R95" s="39" t="s">
        <v>35</v>
      </c>
      <c r="S95" s="40"/>
      <c r="T95" s="35">
        <v>5636</v>
      </c>
      <c r="U95" s="34" t="s">
        <v>35</v>
      </c>
      <c r="V95" s="34" t="s">
        <v>35</v>
      </c>
      <c r="W95" s="36"/>
      <c r="X95" s="37" t="s">
        <v>30</v>
      </c>
      <c r="Y95" s="34" t="s">
        <v>35</v>
      </c>
      <c r="Z95" s="34" t="s">
        <v>35</v>
      </c>
      <c r="AA95" s="36"/>
      <c r="AB95" s="35" t="s">
        <v>57</v>
      </c>
      <c r="AC95" s="34" t="s">
        <v>35</v>
      </c>
      <c r="AD95" s="34" t="s">
        <v>35</v>
      </c>
      <c r="AE95" s="34"/>
      <c r="AF95" s="35" t="s">
        <v>55</v>
      </c>
      <c r="AG95" s="34" t="s">
        <v>35</v>
      </c>
      <c r="AH95" s="34" t="s">
        <v>35</v>
      </c>
      <c r="AI95" s="36"/>
      <c r="AJ95" s="35">
        <v>5636</v>
      </c>
      <c r="AK95" s="34" t="s">
        <v>35</v>
      </c>
      <c r="AL95" s="34" t="s">
        <v>35</v>
      </c>
      <c r="AM95" s="36"/>
      <c r="AN95" s="35" t="s">
        <v>60</v>
      </c>
      <c r="AO95" s="34" t="s">
        <v>35</v>
      </c>
      <c r="AP95" s="34" t="s">
        <v>35</v>
      </c>
      <c r="AQ95" s="36"/>
      <c r="AR95" s="35" t="s">
        <v>58</v>
      </c>
      <c r="AS95" s="34" t="s">
        <v>35</v>
      </c>
      <c r="AT95" s="34" t="s">
        <v>35</v>
      </c>
      <c r="AU95" s="36"/>
      <c r="AV95" s="35" t="s">
        <v>67</v>
      </c>
      <c r="AW95" s="34" t="s">
        <v>35</v>
      </c>
      <c r="AX95" s="34" t="s">
        <v>35</v>
      </c>
      <c r="AY95" s="36"/>
      <c r="BB95" s="12" t="str">
        <f>D95</f>
        <v>D282</v>
      </c>
      <c r="BC95" s="13" t="str">
        <f>H95</f>
        <v>422A</v>
      </c>
      <c r="BD95" s="13">
        <f>L95</f>
        <v>1712</v>
      </c>
      <c r="BE95" s="3" t="str">
        <f>P95</f>
        <v>D282</v>
      </c>
      <c r="BF95" s="3">
        <f>T95</f>
        <v>5636</v>
      </c>
      <c r="BG95" s="3" t="str">
        <f>X95</f>
        <v>307A</v>
      </c>
      <c r="BH95" s="3" t="str">
        <f>AB95</f>
        <v>39D6</v>
      </c>
      <c r="BI95" s="3" t="str">
        <f>AF95</f>
        <v>421A</v>
      </c>
      <c r="BJ95" s="3">
        <f>AJ95</f>
        <v>5636</v>
      </c>
      <c r="BK95" s="3" t="str">
        <f>AN95</f>
        <v>3B7E</v>
      </c>
      <c r="BL95" s="3" t="str">
        <f>AR95</f>
        <v>2BDE</v>
      </c>
      <c r="BM95" s="4" t="str">
        <f>AV95</f>
        <v>ADD6</v>
      </c>
      <c r="BO95" s="185" t="s">
        <v>30</v>
      </c>
      <c r="BP95" s="97" t="e">
        <f t="shared" si="7"/>
        <v>#N/A</v>
      </c>
      <c r="BQ95" s="202" t="str">
        <f t="shared" si="8"/>
        <v>307A</v>
      </c>
      <c r="BR95" s="24" t="str">
        <f t="shared" si="9"/>
        <v>307A</v>
      </c>
      <c r="BS95" s="203" t="str">
        <f t="shared" si="10"/>
        <v>307A</v>
      </c>
    </row>
    <row r="96" spans="1:71" x14ac:dyDescent="0.25">
      <c r="D96" s="8" t="s">
        <v>60</v>
      </c>
      <c r="E96" s="39" t="s">
        <v>35</v>
      </c>
      <c r="F96" s="39" t="s">
        <v>35</v>
      </c>
      <c r="G96" s="40"/>
      <c r="H96" s="8" t="s">
        <v>55</v>
      </c>
      <c r="I96" s="39" t="s">
        <v>35</v>
      </c>
      <c r="J96" s="39" t="s">
        <v>35</v>
      </c>
      <c r="K96" s="40"/>
      <c r="L96" s="8" t="s">
        <v>54</v>
      </c>
      <c r="M96" s="39" t="s">
        <v>35</v>
      </c>
      <c r="N96" s="39" t="s">
        <v>35</v>
      </c>
      <c r="O96" s="40"/>
      <c r="P96" s="8" t="s">
        <v>60</v>
      </c>
      <c r="Q96" s="39" t="s">
        <v>35</v>
      </c>
      <c r="R96" s="39" t="s">
        <v>35</v>
      </c>
      <c r="S96" s="40"/>
      <c r="T96" s="8" t="s">
        <v>59</v>
      </c>
      <c r="U96" s="34" t="s">
        <v>35</v>
      </c>
      <c r="V96" s="34" t="s">
        <v>35</v>
      </c>
      <c r="W96" s="36"/>
      <c r="X96" s="35" t="s">
        <v>54</v>
      </c>
      <c r="Y96" s="34" t="s">
        <v>35</v>
      </c>
      <c r="Z96" s="34" t="s">
        <v>35</v>
      </c>
      <c r="AA96" s="36"/>
      <c r="AB96" s="35" t="s">
        <v>58</v>
      </c>
      <c r="AC96" s="34" t="s">
        <v>35</v>
      </c>
      <c r="AD96" s="34" t="s">
        <v>35</v>
      </c>
      <c r="AE96" s="34"/>
      <c r="AF96" s="35" t="s">
        <v>58</v>
      </c>
      <c r="AG96" s="34" t="s">
        <v>35</v>
      </c>
      <c r="AH96" s="34" t="s">
        <v>35</v>
      </c>
      <c r="AI96" s="36"/>
      <c r="AJ96" s="35" t="s">
        <v>60</v>
      </c>
      <c r="AK96" s="34" t="s">
        <v>35</v>
      </c>
      <c r="AL96" s="34" t="s">
        <v>35</v>
      </c>
      <c r="AM96" s="36"/>
      <c r="AN96" s="35" t="s">
        <v>61</v>
      </c>
      <c r="AO96" s="34" t="s">
        <v>35</v>
      </c>
      <c r="AP96" s="34" t="s">
        <v>35</v>
      </c>
      <c r="AQ96" s="36"/>
      <c r="AR96" s="35">
        <v>5636</v>
      </c>
      <c r="AS96" s="34" t="s">
        <v>35</v>
      </c>
      <c r="AT96" s="34" t="s">
        <v>35</v>
      </c>
      <c r="AU96" s="36"/>
      <c r="AV96" s="90" t="s">
        <v>68</v>
      </c>
      <c r="AW96" s="34" t="s">
        <v>35</v>
      </c>
      <c r="AX96" s="34" t="s">
        <v>35</v>
      </c>
      <c r="AY96" s="36"/>
      <c r="BB96" s="12" t="str">
        <f>D96</f>
        <v>3B7E</v>
      </c>
      <c r="BC96" s="13" t="str">
        <f>H96</f>
        <v>421A</v>
      </c>
      <c r="BD96" s="13" t="str">
        <f>L96</f>
        <v>422A</v>
      </c>
      <c r="BE96" s="3" t="str">
        <f>P96</f>
        <v>3B7E</v>
      </c>
      <c r="BF96" s="3" t="str">
        <f>T96</f>
        <v>D282</v>
      </c>
      <c r="BG96" s="3" t="str">
        <f>X96</f>
        <v>422A</v>
      </c>
      <c r="BH96" s="3" t="str">
        <f>AB96</f>
        <v>2BDE</v>
      </c>
      <c r="BI96" s="3" t="str">
        <f>AF96</f>
        <v>2BDE</v>
      </c>
      <c r="BJ96" s="3" t="str">
        <f>AJ96</f>
        <v>3B7E</v>
      </c>
      <c r="BK96" s="3" t="str">
        <f>AN96</f>
        <v>D2DA</v>
      </c>
      <c r="BL96" s="3">
        <f>AR96</f>
        <v>5636</v>
      </c>
      <c r="BM96" s="4" t="str">
        <f>AV96</f>
        <v>157E</v>
      </c>
      <c r="BO96" s="159" t="s">
        <v>44</v>
      </c>
      <c r="BP96" s="97" t="e">
        <f t="shared" si="7"/>
        <v>#N/A</v>
      </c>
      <c r="BQ96" s="3" t="str">
        <f t="shared" si="8"/>
        <v/>
      </c>
      <c r="BR96" s="97" t="e">
        <f t="shared" si="9"/>
        <v>#N/A</v>
      </c>
      <c r="BS96" s="4" t="e">
        <f t="shared" si="10"/>
        <v>#N/A</v>
      </c>
    </row>
    <row r="97" spans="4:71" x14ac:dyDescent="0.25">
      <c r="D97" s="8"/>
      <c r="E97" s="39"/>
      <c r="F97" s="39"/>
      <c r="G97" s="40"/>
      <c r="H97" s="8" t="s">
        <v>56</v>
      </c>
      <c r="I97" s="39" t="s">
        <v>35</v>
      </c>
      <c r="J97" s="39" t="s">
        <v>35</v>
      </c>
      <c r="K97" s="40"/>
      <c r="L97" s="8" t="s">
        <v>55</v>
      </c>
      <c r="M97" s="39" t="s">
        <v>35</v>
      </c>
      <c r="N97" s="39" t="s">
        <v>35</v>
      </c>
      <c r="O97" s="40"/>
      <c r="P97" s="8"/>
      <c r="Q97" s="39"/>
      <c r="R97" s="39"/>
      <c r="S97" s="40"/>
      <c r="T97" s="8" t="s">
        <v>60</v>
      </c>
      <c r="U97" s="34" t="s">
        <v>35</v>
      </c>
      <c r="V97" s="34" t="s">
        <v>35</v>
      </c>
      <c r="W97" s="36"/>
      <c r="X97" s="35" t="s">
        <v>55</v>
      </c>
      <c r="Y97" s="34" t="s">
        <v>35</v>
      </c>
      <c r="Z97" s="34" t="s">
        <v>35</v>
      </c>
      <c r="AA97" s="36"/>
      <c r="AB97" s="35">
        <v>5636</v>
      </c>
      <c r="AC97" s="34" t="s">
        <v>35</v>
      </c>
      <c r="AD97" s="34" t="s">
        <v>35</v>
      </c>
      <c r="AE97" s="34"/>
      <c r="AF97" s="35">
        <v>5636</v>
      </c>
      <c r="AG97" s="34" t="s">
        <v>35</v>
      </c>
      <c r="AH97" s="34" t="s">
        <v>35</v>
      </c>
      <c r="AI97" s="36"/>
      <c r="AJ97" s="35" t="s">
        <v>61</v>
      </c>
      <c r="AK97" s="34" t="s">
        <v>35</v>
      </c>
      <c r="AL97" s="34" t="s">
        <v>35</v>
      </c>
      <c r="AM97" s="36"/>
      <c r="AN97" s="92" t="s">
        <v>65</v>
      </c>
      <c r="AO97" s="34" t="s">
        <v>35</v>
      </c>
      <c r="AP97" s="34" t="s">
        <v>35</v>
      </c>
      <c r="AQ97" s="36"/>
      <c r="AR97" s="35" t="s">
        <v>60</v>
      </c>
      <c r="AS97" s="34" t="s">
        <v>35</v>
      </c>
      <c r="AT97" s="34" t="s">
        <v>35</v>
      </c>
      <c r="AU97" s="36"/>
      <c r="AV97" s="70" t="s">
        <v>31</v>
      </c>
      <c r="AW97" s="34" t="s">
        <v>35</v>
      </c>
      <c r="AX97" s="34" t="s">
        <v>35</v>
      </c>
      <c r="AY97" s="36"/>
      <c r="BB97" s="12">
        <f>D97</f>
        <v>0</v>
      </c>
      <c r="BC97" s="13" t="str">
        <f>H97</f>
        <v>3BEA</v>
      </c>
      <c r="BD97" s="13" t="str">
        <f>L97</f>
        <v>421A</v>
      </c>
      <c r="BE97" s="3">
        <f>P97</f>
        <v>0</v>
      </c>
      <c r="BF97" s="3" t="str">
        <f>T97</f>
        <v>3B7E</v>
      </c>
      <c r="BG97" s="3" t="str">
        <f>X97</f>
        <v>421A</v>
      </c>
      <c r="BH97" s="3">
        <f>AB97</f>
        <v>5636</v>
      </c>
      <c r="BI97" s="3">
        <f>AF97</f>
        <v>5636</v>
      </c>
      <c r="BJ97" s="3" t="str">
        <f>AJ97</f>
        <v>D2DA</v>
      </c>
      <c r="BK97" s="3" t="str">
        <f>AN97</f>
        <v>B7BE</v>
      </c>
      <c r="BL97" s="3" t="str">
        <f>AR97</f>
        <v>3B7E</v>
      </c>
      <c r="BM97" s="4" t="str">
        <f>AV97</f>
        <v>1DE2</v>
      </c>
      <c r="BO97" s="159" t="s">
        <v>57</v>
      </c>
      <c r="BP97" s="97" t="e">
        <f t="shared" si="7"/>
        <v>#N/A</v>
      </c>
      <c r="BQ97" s="3" t="str">
        <f t="shared" si="8"/>
        <v/>
      </c>
      <c r="BR97" s="97" t="str">
        <f t="shared" si="9"/>
        <v/>
      </c>
      <c r="BS97" s="4" t="e">
        <f t="shared" si="10"/>
        <v>#N/A</v>
      </c>
    </row>
    <row r="98" spans="4:71" x14ac:dyDescent="0.25">
      <c r="D98" s="8"/>
      <c r="E98" s="39"/>
      <c r="F98" s="39"/>
      <c r="G98" s="40"/>
      <c r="H98" s="8" t="s">
        <v>58</v>
      </c>
      <c r="I98" s="39" t="s">
        <v>35</v>
      </c>
      <c r="J98" s="39" t="s">
        <v>35</v>
      </c>
      <c r="K98" s="40"/>
      <c r="L98" s="8" t="s">
        <v>57</v>
      </c>
      <c r="M98" s="39" t="s">
        <v>35</v>
      </c>
      <c r="N98" s="39" t="s">
        <v>35</v>
      </c>
      <c r="O98" s="40"/>
      <c r="P98" s="8"/>
      <c r="Q98" s="39"/>
      <c r="R98" s="39"/>
      <c r="S98" s="40"/>
      <c r="T98" s="8"/>
      <c r="U98" s="34"/>
      <c r="V98" s="34"/>
      <c r="W98" s="36"/>
      <c r="X98" s="35" t="s">
        <v>57</v>
      </c>
      <c r="Y98" s="34" t="s">
        <v>35</v>
      </c>
      <c r="Z98" s="34" t="s">
        <v>35</v>
      </c>
      <c r="AA98" s="36"/>
      <c r="AB98" s="35" t="s">
        <v>59</v>
      </c>
      <c r="AC98" s="34" t="s">
        <v>35</v>
      </c>
      <c r="AD98" s="34" t="s">
        <v>35</v>
      </c>
      <c r="AE98" s="34"/>
      <c r="AF98" s="35" t="s">
        <v>59</v>
      </c>
      <c r="AG98" s="34" t="s">
        <v>35</v>
      </c>
      <c r="AH98" s="34" t="s">
        <v>35</v>
      </c>
      <c r="AI98" s="36"/>
      <c r="AJ98" s="35" t="s">
        <v>64</v>
      </c>
      <c r="AK98" s="34" t="s">
        <v>35</v>
      </c>
      <c r="AL98" s="34" t="s">
        <v>35</v>
      </c>
      <c r="AM98" s="36"/>
      <c r="AN98" s="35" t="s">
        <v>66</v>
      </c>
      <c r="AO98" s="34" t="s">
        <v>35</v>
      </c>
      <c r="AP98" s="34" t="s">
        <v>35</v>
      </c>
      <c r="AQ98" s="36"/>
      <c r="AR98" s="92" t="s">
        <v>65</v>
      </c>
      <c r="AS98" s="34" t="s">
        <v>35</v>
      </c>
      <c r="AT98" s="34" t="s">
        <v>35</v>
      </c>
      <c r="AU98" s="36"/>
      <c r="AV98" s="113" t="s">
        <v>69</v>
      </c>
      <c r="AW98" s="34" t="s">
        <v>35</v>
      </c>
      <c r="AX98" s="34" t="s">
        <v>35</v>
      </c>
      <c r="AY98" s="36"/>
      <c r="BB98" s="12">
        <f>D98</f>
        <v>0</v>
      </c>
      <c r="BC98" s="13" t="str">
        <f>H98</f>
        <v>2BDE</v>
      </c>
      <c r="BD98" s="13" t="str">
        <f>L98</f>
        <v>39D6</v>
      </c>
      <c r="BE98" s="3">
        <f>P98</f>
        <v>0</v>
      </c>
      <c r="BF98" s="3">
        <f>T98</f>
        <v>0</v>
      </c>
      <c r="BG98" s="3" t="str">
        <f>X98</f>
        <v>39D6</v>
      </c>
      <c r="BH98" s="3" t="str">
        <f>AB98</f>
        <v>D282</v>
      </c>
      <c r="BI98" s="3" t="str">
        <f>AF98</f>
        <v>D282</v>
      </c>
      <c r="BJ98" s="3" t="str">
        <f>AJ98</f>
        <v>79CA</v>
      </c>
      <c r="BK98" s="3" t="str">
        <f>AN98</f>
        <v>A682</v>
      </c>
      <c r="BL98" s="3" t="str">
        <f>AR98</f>
        <v>B7BE</v>
      </c>
      <c r="BM98" s="4" t="str">
        <f>AV98</f>
        <v>BCC6</v>
      </c>
      <c r="BO98" s="159" t="s">
        <v>60</v>
      </c>
      <c r="BP98" s="97" t="e">
        <f t="shared" si="7"/>
        <v>#N/A</v>
      </c>
      <c r="BQ98" s="3" t="str">
        <f t="shared" si="8"/>
        <v/>
      </c>
      <c r="BR98" s="97" t="e">
        <f t="shared" si="9"/>
        <v>#N/A</v>
      </c>
      <c r="BS98" s="4" t="str">
        <f t="shared" si="10"/>
        <v/>
      </c>
    </row>
    <row r="99" spans="4:71" x14ac:dyDescent="0.25">
      <c r="D99" s="8"/>
      <c r="E99" s="39"/>
      <c r="F99" s="39"/>
      <c r="G99" s="40"/>
      <c r="H99" s="8">
        <v>5636</v>
      </c>
      <c r="I99" s="39" t="s">
        <v>35</v>
      </c>
      <c r="J99" s="39" t="s">
        <v>35</v>
      </c>
      <c r="K99" s="40"/>
      <c r="L99" s="8" t="s">
        <v>58</v>
      </c>
      <c r="M99" s="39" t="s">
        <v>35</v>
      </c>
      <c r="N99" s="39" t="s">
        <v>35</v>
      </c>
      <c r="O99" s="40"/>
      <c r="P99" s="8"/>
      <c r="Q99" s="39"/>
      <c r="R99" s="39"/>
      <c r="S99" s="40"/>
      <c r="T99" s="8"/>
      <c r="U99" s="34"/>
      <c r="V99" s="34"/>
      <c r="W99" s="36"/>
      <c r="X99" s="35" t="s">
        <v>58</v>
      </c>
      <c r="Y99" s="34" t="s">
        <v>35</v>
      </c>
      <c r="Z99" s="34" t="s">
        <v>35</v>
      </c>
      <c r="AA99" s="36"/>
      <c r="AB99" s="35" t="s">
        <v>61</v>
      </c>
      <c r="AC99" s="34" t="s">
        <v>35</v>
      </c>
      <c r="AD99" s="34" t="s">
        <v>35</v>
      </c>
      <c r="AE99" s="34"/>
      <c r="AF99" s="35" t="s">
        <v>60</v>
      </c>
      <c r="AG99" s="34" t="s">
        <v>35</v>
      </c>
      <c r="AH99" s="34" t="s">
        <v>35</v>
      </c>
      <c r="AI99" s="36"/>
      <c r="AJ99" s="35" t="s">
        <v>66</v>
      </c>
      <c r="AK99" s="34" t="s">
        <v>35</v>
      </c>
      <c r="AL99" s="34" t="s">
        <v>35</v>
      </c>
      <c r="AM99" s="36"/>
      <c r="AN99" s="35" t="s">
        <v>67</v>
      </c>
      <c r="AO99" s="34" t="s">
        <v>35</v>
      </c>
      <c r="AP99" s="34" t="s">
        <v>35</v>
      </c>
      <c r="AQ99" s="36"/>
      <c r="AR99" s="35" t="s">
        <v>66</v>
      </c>
      <c r="AS99" s="34" t="s">
        <v>35</v>
      </c>
      <c r="AT99" s="34" t="s">
        <v>35</v>
      </c>
      <c r="AU99" s="36"/>
      <c r="AV99" s="35" t="s">
        <v>70</v>
      </c>
      <c r="AW99" s="34" t="s">
        <v>35</v>
      </c>
      <c r="AX99" s="34" t="s">
        <v>35</v>
      </c>
      <c r="AY99" s="36"/>
      <c r="BB99" s="12">
        <f>D99</f>
        <v>0</v>
      </c>
      <c r="BC99" s="13">
        <f>H99</f>
        <v>5636</v>
      </c>
      <c r="BD99" s="13" t="str">
        <f>L99</f>
        <v>2BDE</v>
      </c>
      <c r="BE99" s="3">
        <f>P99</f>
        <v>0</v>
      </c>
      <c r="BF99" s="3">
        <f>T99</f>
        <v>0</v>
      </c>
      <c r="BG99" s="3" t="str">
        <f>X99</f>
        <v>2BDE</v>
      </c>
      <c r="BH99" s="3" t="str">
        <f>AB99</f>
        <v>D2DA</v>
      </c>
      <c r="BI99" s="3" t="str">
        <f>AF99</f>
        <v>3B7E</v>
      </c>
      <c r="BJ99" s="3" t="str">
        <f>AJ99</f>
        <v>A682</v>
      </c>
      <c r="BK99" s="3" t="str">
        <f>AN99</f>
        <v>ADD6</v>
      </c>
      <c r="BL99" s="3" t="str">
        <f>AR99</f>
        <v>A682</v>
      </c>
      <c r="BM99" s="4" t="str">
        <f>AV99</f>
        <v>25F2</v>
      </c>
      <c r="BO99" s="159" t="s">
        <v>56</v>
      </c>
      <c r="BP99" s="97" t="e">
        <f t="shared" si="7"/>
        <v>#N/A</v>
      </c>
      <c r="BQ99" s="3" t="str">
        <f t="shared" si="8"/>
        <v/>
      </c>
      <c r="BR99" s="97" t="str">
        <f t="shared" si="9"/>
        <v/>
      </c>
      <c r="BS99" s="4" t="e">
        <f t="shared" si="10"/>
        <v>#N/A</v>
      </c>
    </row>
    <row r="100" spans="4:71" x14ac:dyDescent="0.25">
      <c r="D100" s="8"/>
      <c r="E100" s="39"/>
      <c r="F100" s="39"/>
      <c r="G100" s="40"/>
      <c r="H100" s="8" t="s">
        <v>59</v>
      </c>
      <c r="I100" s="39" t="s">
        <v>35</v>
      </c>
      <c r="J100" s="39" t="s">
        <v>35</v>
      </c>
      <c r="K100" s="40"/>
      <c r="L100" s="8">
        <v>5636</v>
      </c>
      <c r="M100" s="39" t="s">
        <v>35</v>
      </c>
      <c r="N100" s="39" t="s">
        <v>35</v>
      </c>
      <c r="O100" s="40"/>
      <c r="P100" s="8"/>
      <c r="Q100" s="39"/>
      <c r="R100" s="39"/>
      <c r="S100" s="40"/>
      <c r="T100" s="8"/>
      <c r="U100" s="34"/>
      <c r="V100" s="34"/>
      <c r="W100" s="36"/>
      <c r="X100" s="35">
        <v>5636</v>
      </c>
      <c r="Y100" s="34" t="s">
        <v>35</v>
      </c>
      <c r="Z100" s="34" t="s">
        <v>35</v>
      </c>
      <c r="AA100" s="36"/>
      <c r="AB100" s="35" t="s">
        <v>63</v>
      </c>
      <c r="AC100" s="34" t="s">
        <v>35</v>
      </c>
      <c r="AD100" s="34" t="s">
        <v>35</v>
      </c>
      <c r="AE100" s="34"/>
      <c r="AF100" s="35" t="s">
        <v>64</v>
      </c>
      <c r="AG100" s="34" t="s">
        <v>35</v>
      </c>
      <c r="AH100" s="34" t="s">
        <v>35</v>
      </c>
      <c r="AI100" s="36"/>
      <c r="AJ100" s="35" t="s">
        <v>67</v>
      </c>
      <c r="AK100" s="34" t="s">
        <v>35</v>
      </c>
      <c r="AL100" s="34" t="s">
        <v>35</v>
      </c>
      <c r="AM100" s="36"/>
      <c r="AN100" s="90" t="s">
        <v>68</v>
      </c>
      <c r="AO100" s="34" t="s">
        <v>35</v>
      </c>
      <c r="AP100" s="34" t="s">
        <v>35</v>
      </c>
      <c r="AQ100" s="36"/>
      <c r="AR100" s="35" t="s">
        <v>67</v>
      </c>
      <c r="AS100" s="34" t="s">
        <v>35</v>
      </c>
      <c r="AT100" s="34" t="s">
        <v>35</v>
      </c>
      <c r="AU100" s="36"/>
      <c r="AV100" s="35" t="s">
        <v>71</v>
      </c>
      <c r="AW100" s="34" t="s">
        <v>35</v>
      </c>
      <c r="AX100" s="34" t="s">
        <v>35</v>
      </c>
      <c r="AY100" s="36"/>
      <c r="BB100" s="12">
        <f>D100</f>
        <v>0</v>
      </c>
      <c r="BC100" s="13" t="str">
        <f>H100</f>
        <v>D282</v>
      </c>
      <c r="BD100" s="13">
        <f>L100</f>
        <v>5636</v>
      </c>
      <c r="BE100" s="3">
        <f>P100</f>
        <v>0</v>
      </c>
      <c r="BF100" s="3">
        <f>T100</f>
        <v>0</v>
      </c>
      <c r="BG100" s="3">
        <f>X100</f>
        <v>5636</v>
      </c>
      <c r="BH100" s="3" t="str">
        <f>AB100</f>
        <v>BA3E</v>
      </c>
      <c r="BI100" s="3" t="str">
        <f>AF100</f>
        <v>79CA</v>
      </c>
      <c r="BJ100" s="3" t="str">
        <f>AJ100</f>
        <v>ADD6</v>
      </c>
      <c r="BK100" s="3" t="str">
        <f>AN100</f>
        <v>157E</v>
      </c>
      <c r="BL100" s="3" t="str">
        <f>AR100</f>
        <v>ADD6</v>
      </c>
      <c r="BM100" s="4" t="str">
        <f>AV100</f>
        <v>CA62</v>
      </c>
      <c r="BO100" s="159" t="s">
        <v>55</v>
      </c>
      <c r="BP100" s="97" t="e">
        <f t="shared" si="7"/>
        <v>#N/A</v>
      </c>
      <c r="BQ100" s="3" t="str">
        <f t="shared" si="8"/>
        <v/>
      </c>
      <c r="BR100" s="97" t="e">
        <f t="shared" si="9"/>
        <v>#N/A</v>
      </c>
      <c r="BS100" s="4" t="e">
        <f t="shared" si="10"/>
        <v>#N/A</v>
      </c>
    </row>
    <row r="101" spans="4:71" x14ac:dyDescent="0.25">
      <c r="D101" s="66"/>
      <c r="E101" s="67"/>
      <c r="F101" s="67"/>
      <c r="G101" s="68"/>
      <c r="H101" s="35" t="s">
        <v>60</v>
      </c>
      <c r="I101" s="39" t="s">
        <v>35</v>
      </c>
      <c r="J101" s="39" t="s">
        <v>35</v>
      </c>
      <c r="K101" s="68"/>
      <c r="L101" s="35" t="s">
        <v>59</v>
      </c>
      <c r="M101" s="39" t="s">
        <v>35</v>
      </c>
      <c r="N101" s="39" t="s">
        <v>35</v>
      </c>
      <c r="O101" s="68"/>
      <c r="P101" s="8"/>
      <c r="Q101" s="39"/>
      <c r="R101" s="39"/>
      <c r="S101" s="68"/>
      <c r="T101" s="35"/>
      <c r="U101" s="34"/>
      <c r="V101" s="34"/>
      <c r="W101" s="36"/>
      <c r="X101" s="35" t="s">
        <v>59</v>
      </c>
      <c r="Y101" s="34" t="s">
        <v>35</v>
      </c>
      <c r="Z101" s="34" t="s">
        <v>35</v>
      </c>
      <c r="AA101" s="36"/>
      <c r="AB101" s="35" t="s">
        <v>64</v>
      </c>
      <c r="AC101" s="34" t="s">
        <v>35</v>
      </c>
      <c r="AD101" s="34" t="s">
        <v>35</v>
      </c>
      <c r="AE101" s="34"/>
      <c r="AF101" s="92" t="s">
        <v>65</v>
      </c>
      <c r="AG101" s="34" t="s">
        <v>35</v>
      </c>
      <c r="AH101" s="34" t="s">
        <v>35</v>
      </c>
      <c r="AI101" s="36"/>
      <c r="AJ101" s="90" t="s">
        <v>68</v>
      </c>
      <c r="AK101" s="34" t="s">
        <v>35</v>
      </c>
      <c r="AL101" s="34" t="s">
        <v>35</v>
      </c>
      <c r="AM101" s="36"/>
      <c r="AN101" s="70" t="s">
        <v>31</v>
      </c>
      <c r="AO101" s="34" t="s">
        <v>35</v>
      </c>
      <c r="AP101" s="34" t="s">
        <v>35</v>
      </c>
      <c r="AQ101" s="36"/>
      <c r="AR101" s="70" t="s">
        <v>31</v>
      </c>
      <c r="AS101" s="34" t="s">
        <v>35</v>
      </c>
      <c r="AT101" s="34" t="s">
        <v>35</v>
      </c>
      <c r="AU101" s="36"/>
      <c r="AV101" s="35" t="s">
        <v>72</v>
      </c>
      <c r="AW101" s="34" t="s">
        <v>35</v>
      </c>
      <c r="AX101" s="34" t="s">
        <v>35</v>
      </c>
      <c r="AY101" s="36"/>
      <c r="BB101" s="12">
        <f>D101</f>
        <v>0</v>
      </c>
      <c r="BC101" s="13" t="str">
        <f>H101</f>
        <v>3B7E</v>
      </c>
      <c r="BD101" s="13" t="str">
        <f>L101</f>
        <v>D282</v>
      </c>
      <c r="BE101" s="3">
        <f>P101</f>
        <v>0</v>
      </c>
      <c r="BF101" s="3">
        <f>T101</f>
        <v>0</v>
      </c>
      <c r="BG101" s="3" t="str">
        <f>X101</f>
        <v>D282</v>
      </c>
      <c r="BH101" s="3" t="str">
        <f>AB101</f>
        <v>79CA</v>
      </c>
      <c r="BI101" s="3" t="str">
        <f>AF101</f>
        <v>B7BE</v>
      </c>
      <c r="BJ101" s="3" t="str">
        <f>AJ101</f>
        <v>157E</v>
      </c>
      <c r="BK101" s="3" t="str">
        <f>AN101</f>
        <v>1DE2</v>
      </c>
      <c r="BL101" s="3" t="str">
        <f>AR101</f>
        <v>1DE2</v>
      </c>
      <c r="BM101" s="4" t="str">
        <f>AV101</f>
        <v>298A</v>
      </c>
      <c r="BO101" s="159" t="s">
        <v>54</v>
      </c>
      <c r="BP101" s="97" t="e">
        <f t="shared" si="7"/>
        <v>#N/A</v>
      </c>
      <c r="BQ101" s="3" t="str">
        <f t="shared" si="8"/>
        <v/>
      </c>
      <c r="BR101" s="97" t="str">
        <f t="shared" si="9"/>
        <v/>
      </c>
      <c r="BS101" s="4" t="e">
        <f t="shared" si="10"/>
        <v>#N/A</v>
      </c>
    </row>
    <row r="102" spans="4:71" x14ac:dyDescent="0.25">
      <c r="D102" s="66"/>
      <c r="E102" s="67"/>
      <c r="F102" s="67"/>
      <c r="G102" s="68"/>
      <c r="H102" s="66"/>
      <c r="I102" s="67"/>
      <c r="J102" s="67"/>
      <c r="K102" s="68"/>
      <c r="L102" s="35" t="s">
        <v>60</v>
      </c>
      <c r="M102" s="39" t="s">
        <v>35</v>
      </c>
      <c r="N102" s="39" t="s">
        <v>35</v>
      </c>
      <c r="O102" s="68"/>
      <c r="P102" s="35"/>
      <c r="Q102" s="39"/>
      <c r="R102" s="39"/>
      <c r="S102" s="68"/>
      <c r="T102" s="35"/>
      <c r="U102" s="34"/>
      <c r="V102" s="34"/>
      <c r="W102" s="36"/>
      <c r="X102" s="35" t="s">
        <v>60</v>
      </c>
      <c r="Y102" s="34" t="s">
        <v>35</v>
      </c>
      <c r="Z102" s="34" t="s">
        <v>35</v>
      </c>
      <c r="AA102" s="36"/>
      <c r="AB102" s="92" t="s">
        <v>65</v>
      </c>
      <c r="AC102" s="34" t="s">
        <v>35</v>
      </c>
      <c r="AD102" s="34" t="s">
        <v>35</v>
      </c>
      <c r="AE102" s="34"/>
      <c r="AF102" s="35" t="s">
        <v>66</v>
      </c>
      <c r="AG102" s="34" t="s">
        <v>35</v>
      </c>
      <c r="AH102" s="34" t="s">
        <v>35</v>
      </c>
      <c r="AI102" s="36"/>
      <c r="AJ102" s="70" t="s">
        <v>31</v>
      </c>
      <c r="AK102" s="34" t="s">
        <v>35</v>
      </c>
      <c r="AL102" s="34" t="s">
        <v>35</v>
      </c>
      <c r="AM102" s="36"/>
      <c r="AN102" s="113" t="s">
        <v>69</v>
      </c>
      <c r="AO102" s="34" t="s">
        <v>35</v>
      </c>
      <c r="AP102" s="34" t="s">
        <v>35</v>
      </c>
      <c r="AQ102" s="36"/>
      <c r="AR102" s="113" t="s">
        <v>69</v>
      </c>
      <c r="AS102" s="34" t="s">
        <v>35</v>
      </c>
      <c r="AT102" s="34" t="s">
        <v>35</v>
      </c>
      <c r="AU102" s="36"/>
      <c r="AV102" s="35" t="s">
        <v>73</v>
      </c>
      <c r="AW102" s="34" t="s">
        <v>35</v>
      </c>
      <c r="AX102" s="34" t="s">
        <v>35</v>
      </c>
      <c r="AY102" s="36"/>
      <c r="BB102" s="12">
        <f>D102</f>
        <v>0</v>
      </c>
      <c r="BC102" s="13">
        <f>H102</f>
        <v>0</v>
      </c>
      <c r="BD102" s="13" t="str">
        <f>L102</f>
        <v>3B7E</v>
      </c>
      <c r="BE102" s="3">
        <f>P102</f>
        <v>0</v>
      </c>
      <c r="BF102" s="3">
        <f>T102</f>
        <v>0</v>
      </c>
      <c r="BG102" s="3" t="str">
        <f>X102</f>
        <v>3B7E</v>
      </c>
      <c r="BH102" s="3" t="str">
        <f>AB102</f>
        <v>B7BE</v>
      </c>
      <c r="BI102" s="3" t="str">
        <f>AF102</f>
        <v>A682</v>
      </c>
      <c r="BJ102" s="3" t="str">
        <f>AJ102</f>
        <v>1DE2</v>
      </c>
      <c r="BK102" s="3" t="str">
        <f>AN102</f>
        <v>BCC6</v>
      </c>
      <c r="BL102" s="3" t="str">
        <f>AR102</f>
        <v>BCC6</v>
      </c>
      <c r="BM102" s="4" t="str">
        <f>AV102</f>
        <v>25BE</v>
      </c>
      <c r="BO102" s="159" t="s">
        <v>49</v>
      </c>
      <c r="BP102" s="97" t="e">
        <f t="shared" si="7"/>
        <v>#N/A</v>
      </c>
      <c r="BQ102" s="3" t="e">
        <f t="shared" si="8"/>
        <v>#N/A</v>
      </c>
      <c r="BR102" s="97" t="str">
        <f t="shared" si="9"/>
        <v/>
      </c>
      <c r="BS102" s="4" t="e">
        <f t="shared" si="10"/>
        <v>#N/A</v>
      </c>
    </row>
    <row r="103" spans="4:71" x14ac:dyDescent="0.25">
      <c r="D103" s="66"/>
      <c r="E103" s="67"/>
      <c r="F103" s="67"/>
      <c r="G103" s="68"/>
      <c r="H103" s="66"/>
      <c r="I103" s="67"/>
      <c r="J103" s="67"/>
      <c r="K103" s="68"/>
      <c r="L103" s="35"/>
      <c r="M103" s="39"/>
      <c r="N103" s="39"/>
      <c r="O103" s="68"/>
      <c r="P103" s="35"/>
      <c r="Q103" s="39"/>
      <c r="R103" s="39"/>
      <c r="S103" s="68"/>
      <c r="T103" s="35"/>
      <c r="U103" s="34"/>
      <c r="V103" s="34"/>
      <c r="W103" s="36"/>
      <c r="X103" s="35"/>
      <c r="Y103" s="34"/>
      <c r="Z103" s="34"/>
      <c r="AA103" s="36"/>
      <c r="AB103" s="35" t="s">
        <v>66</v>
      </c>
      <c r="AC103" s="34" t="s">
        <v>35</v>
      </c>
      <c r="AD103" s="34" t="s">
        <v>35</v>
      </c>
      <c r="AE103" s="34"/>
      <c r="AF103" s="35" t="s">
        <v>67</v>
      </c>
      <c r="AG103" s="34" t="s">
        <v>35</v>
      </c>
      <c r="AH103" s="34" t="s">
        <v>35</v>
      </c>
      <c r="AI103" s="36"/>
      <c r="AJ103" s="113" t="s">
        <v>69</v>
      </c>
      <c r="AK103" s="34" t="s">
        <v>35</v>
      </c>
      <c r="AL103" s="34" t="s">
        <v>35</v>
      </c>
      <c r="AM103" s="36"/>
      <c r="AN103" s="35" t="s">
        <v>71</v>
      </c>
      <c r="AO103" s="34" t="s">
        <v>35</v>
      </c>
      <c r="AP103" s="34" t="s">
        <v>35</v>
      </c>
      <c r="AQ103" s="36"/>
      <c r="AR103" s="35" t="s">
        <v>70</v>
      </c>
      <c r="AS103" s="34" t="s">
        <v>35</v>
      </c>
      <c r="AT103" s="34" t="s">
        <v>35</v>
      </c>
      <c r="AU103" s="36"/>
      <c r="AV103" s="35"/>
      <c r="AW103" s="34"/>
      <c r="AX103" s="34"/>
      <c r="AY103" s="36"/>
      <c r="BB103" s="12">
        <f>D103</f>
        <v>0</v>
      </c>
      <c r="BC103" s="13">
        <f>H103</f>
        <v>0</v>
      </c>
      <c r="BD103" s="13">
        <f>L103</f>
        <v>0</v>
      </c>
      <c r="BE103" s="3">
        <f>P103</f>
        <v>0</v>
      </c>
      <c r="BF103" s="3">
        <f>T103</f>
        <v>0</v>
      </c>
      <c r="BG103" s="3">
        <f>X103</f>
        <v>0</v>
      </c>
      <c r="BH103" s="3" t="str">
        <f>AB103</f>
        <v>A682</v>
      </c>
      <c r="BI103" s="3" t="str">
        <f>AF103</f>
        <v>ADD6</v>
      </c>
      <c r="BJ103" s="3" t="str">
        <f>AJ103</f>
        <v>BCC6</v>
      </c>
      <c r="BK103" s="3" t="str">
        <f>AN103</f>
        <v>CA62</v>
      </c>
      <c r="BL103" s="3" t="str">
        <f>AR103</f>
        <v>25F2</v>
      </c>
      <c r="BM103" s="4">
        <f>AV103</f>
        <v>0</v>
      </c>
      <c r="BO103" s="159" t="s">
        <v>62</v>
      </c>
      <c r="BP103" s="97" t="e">
        <f t="shared" si="7"/>
        <v>#N/A</v>
      </c>
      <c r="BQ103" s="3" t="str">
        <f t="shared" si="8"/>
        <v/>
      </c>
      <c r="BR103" s="97" t="e">
        <f t="shared" si="9"/>
        <v>#N/A</v>
      </c>
      <c r="BS103" s="4" t="e">
        <f t="shared" si="10"/>
        <v>#N/A</v>
      </c>
    </row>
    <row r="104" spans="4:71" x14ac:dyDescent="0.25">
      <c r="D104" s="66"/>
      <c r="E104" s="67"/>
      <c r="F104" s="67"/>
      <c r="G104" s="68"/>
      <c r="H104" s="66"/>
      <c r="I104" s="67"/>
      <c r="J104" s="67"/>
      <c r="K104" s="68"/>
      <c r="L104" s="35"/>
      <c r="M104" s="39"/>
      <c r="N104" s="39"/>
      <c r="O104" s="68"/>
      <c r="P104" s="35"/>
      <c r="Q104" s="39"/>
      <c r="R104" s="39"/>
      <c r="S104" s="68"/>
      <c r="T104" s="66"/>
      <c r="U104" s="34"/>
      <c r="V104" s="34"/>
      <c r="W104" s="36"/>
      <c r="X104" s="35"/>
      <c r="Y104" s="34"/>
      <c r="Z104" s="34"/>
      <c r="AA104" s="36"/>
      <c r="AB104" s="35" t="s">
        <v>67</v>
      </c>
      <c r="AC104" s="34" t="s">
        <v>35</v>
      </c>
      <c r="AD104" s="34" t="s">
        <v>35</v>
      </c>
      <c r="AE104" s="34"/>
      <c r="AF104" s="90" t="s">
        <v>68</v>
      </c>
      <c r="AG104" s="34" t="s">
        <v>35</v>
      </c>
      <c r="AH104" s="34" t="s">
        <v>35</v>
      </c>
      <c r="AI104" s="36"/>
      <c r="AJ104" s="35" t="s">
        <v>71</v>
      </c>
      <c r="AK104" s="34" t="s">
        <v>35</v>
      </c>
      <c r="AL104" s="34" t="s">
        <v>35</v>
      </c>
      <c r="AM104" s="36"/>
      <c r="AN104" s="35" t="s">
        <v>72</v>
      </c>
      <c r="AO104" s="34" t="s">
        <v>35</v>
      </c>
      <c r="AP104" s="34" t="s">
        <v>35</v>
      </c>
      <c r="AQ104" s="36"/>
      <c r="AR104" s="35" t="s">
        <v>71</v>
      </c>
      <c r="AS104" s="34" t="s">
        <v>35</v>
      </c>
      <c r="AT104" s="34" t="s">
        <v>35</v>
      </c>
      <c r="AU104" s="36"/>
      <c r="AV104" s="35"/>
      <c r="AW104" s="34"/>
      <c r="AX104" s="34"/>
      <c r="AY104" s="36"/>
      <c r="BB104" s="12">
        <f>D104</f>
        <v>0</v>
      </c>
      <c r="BC104" s="13">
        <f>H104</f>
        <v>0</v>
      </c>
      <c r="BD104" s="13">
        <f>L104</f>
        <v>0</v>
      </c>
      <c r="BE104" s="3">
        <f>P104</f>
        <v>0</v>
      </c>
      <c r="BF104" s="3">
        <f>T104</f>
        <v>0</v>
      </c>
      <c r="BG104" s="3">
        <f>X104</f>
        <v>0</v>
      </c>
      <c r="BH104" s="3" t="str">
        <f>AB104</f>
        <v>ADD6</v>
      </c>
      <c r="BI104" s="3" t="str">
        <f>AF104</f>
        <v>157E</v>
      </c>
      <c r="BJ104" s="3" t="str">
        <f>AJ104</f>
        <v>CA62</v>
      </c>
      <c r="BK104" s="3" t="str">
        <f>AN104</f>
        <v>298A</v>
      </c>
      <c r="BL104" s="3" t="str">
        <f>AR104</f>
        <v>CA62</v>
      </c>
      <c r="BM104" s="4">
        <f>AV104</f>
        <v>0</v>
      </c>
      <c r="BO104" s="159" t="s">
        <v>48</v>
      </c>
      <c r="BP104" s="97" t="e">
        <f t="shared" si="7"/>
        <v>#N/A</v>
      </c>
      <c r="BQ104" s="3" t="str">
        <f t="shared" si="8"/>
        <v/>
      </c>
      <c r="BR104" s="97" t="e">
        <f t="shared" si="9"/>
        <v>#N/A</v>
      </c>
      <c r="BS104" s="4" t="e">
        <f t="shared" si="10"/>
        <v>#N/A</v>
      </c>
    </row>
    <row r="105" spans="4:71" x14ac:dyDescent="0.25">
      <c r="D105" s="66"/>
      <c r="E105" s="67"/>
      <c r="F105" s="67"/>
      <c r="G105" s="68"/>
      <c r="H105" s="66"/>
      <c r="I105" s="67"/>
      <c r="J105" s="67"/>
      <c r="K105" s="68"/>
      <c r="L105" s="35"/>
      <c r="M105" s="39"/>
      <c r="N105" s="39"/>
      <c r="O105" s="68"/>
      <c r="P105" s="35"/>
      <c r="Q105" s="39"/>
      <c r="R105" s="39"/>
      <c r="S105" s="68"/>
      <c r="T105" s="66"/>
      <c r="U105" s="34"/>
      <c r="V105" s="34"/>
      <c r="W105" s="36"/>
      <c r="X105" s="35"/>
      <c r="Y105" s="34"/>
      <c r="Z105" s="34"/>
      <c r="AA105" s="36"/>
      <c r="AB105" s="90" t="s">
        <v>68</v>
      </c>
      <c r="AC105" s="34" t="s">
        <v>35</v>
      </c>
      <c r="AD105" s="34" t="s">
        <v>35</v>
      </c>
      <c r="AE105" s="34"/>
      <c r="AF105" s="70" t="s">
        <v>31</v>
      </c>
      <c r="AG105" s="34" t="s">
        <v>35</v>
      </c>
      <c r="AH105" s="34" t="s">
        <v>35</v>
      </c>
      <c r="AI105" s="36"/>
      <c r="AJ105" s="35" t="s">
        <v>72</v>
      </c>
      <c r="AK105" s="34" t="s">
        <v>35</v>
      </c>
      <c r="AL105" s="34" t="s">
        <v>35</v>
      </c>
      <c r="AM105" s="36"/>
      <c r="AN105" s="35" t="s">
        <v>74</v>
      </c>
      <c r="AO105" s="34" t="s">
        <v>35</v>
      </c>
      <c r="AP105" s="34" t="s">
        <v>35</v>
      </c>
      <c r="AQ105" s="36"/>
      <c r="AR105" s="35" t="s">
        <v>72</v>
      </c>
      <c r="AS105" s="34" t="s">
        <v>35</v>
      </c>
      <c r="AT105" s="34" t="s">
        <v>35</v>
      </c>
      <c r="AU105" s="36"/>
      <c r="AV105" s="35"/>
      <c r="AW105" s="34"/>
      <c r="AX105" s="34"/>
      <c r="AY105" s="36"/>
      <c r="BB105" s="12">
        <f>D105</f>
        <v>0</v>
      </c>
      <c r="BC105" s="13">
        <f>H105</f>
        <v>0</v>
      </c>
      <c r="BD105" s="13">
        <f>L105</f>
        <v>0</v>
      </c>
      <c r="BE105" s="3">
        <f>P105</f>
        <v>0</v>
      </c>
      <c r="BF105" s="3">
        <f>T105</f>
        <v>0</v>
      </c>
      <c r="BG105" s="3">
        <f>X105</f>
        <v>0</v>
      </c>
      <c r="BH105" s="3" t="str">
        <f>AB105</f>
        <v>157E</v>
      </c>
      <c r="BI105" s="3" t="str">
        <f>AF105</f>
        <v>1DE2</v>
      </c>
      <c r="BJ105" s="3" t="str">
        <f>AJ105</f>
        <v>298A</v>
      </c>
      <c r="BK105" s="3" t="str">
        <f>AN105</f>
        <v>B9CA</v>
      </c>
      <c r="BL105" s="3" t="str">
        <f>AR105</f>
        <v>298A</v>
      </c>
      <c r="BM105" s="4">
        <f>AV105</f>
        <v>0</v>
      </c>
      <c r="BO105" s="159" t="s">
        <v>59</v>
      </c>
      <c r="BP105" s="97" t="e">
        <f t="shared" si="7"/>
        <v>#N/A</v>
      </c>
      <c r="BQ105" s="3" t="str">
        <f t="shared" si="8"/>
        <v/>
      </c>
      <c r="BR105" s="97" t="str">
        <f t="shared" si="9"/>
        <v/>
      </c>
      <c r="BS105" s="4" t="e">
        <f t="shared" si="10"/>
        <v>#N/A</v>
      </c>
    </row>
    <row r="106" spans="4:71" x14ac:dyDescent="0.25">
      <c r="D106" s="66"/>
      <c r="E106" s="67"/>
      <c r="F106" s="67"/>
      <c r="G106" s="68"/>
      <c r="H106" s="66"/>
      <c r="I106" s="67"/>
      <c r="J106" s="67"/>
      <c r="K106" s="68"/>
      <c r="L106" s="35"/>
      <c r="M106" s="39"/>
      <c r="N106" s="39"/>
      <c r="O106" s="68"/>
      <c r="P106" s="35"/>
      <c r="Q106" s="39"/>
      <c r="R106" s="39"/>
      <c r="S106" s="68"/>
      <c r="T106" s="66"/>
      <c r="U106" s="34"/>
      <c r="V106" s="34"/>
      <c r="W106" s="36"/>
      <c r="X106" s="35"/>
      <c r="Y106" s="34"/>
      <c r="Z106" s="34"/>
      <c r="AA106" s="36"/>
      <c r="AB106" s="70" t="s">
        <v>31</v>
      </c>
      <c r="AC106" s="34" t="s">
        <v>35</v>
      </c>
      <c r="AD106" s="34" t="s">
        <v>35</v>
      </c>
      <c r="AE106" s="34"/>
      <c r="AF106" s="113" t="s">
        <v>69</v>
      </c>
      <c r="AG106" s="34" t="s">
        <v>35</v>
      </c>
      <c r="AH106" s="34" t="s">
        <v>35</v>
      </c>
      <c r="AI106" s="36"/>
      <c r="AJ106" s="35" t="s">
        <v>74</v>
      </c>
      <c r="AK106" s="34" t="s">
        <v>35</v>
      </c>
      <c r="AL106" s="34" t="s">
        <v>35</v>
      </c>
      <c r="AM106" s="36"/>
      <c r="AN106" s="35"/>
      <c r="AO106" s="34"/>
      <c r="AP106" s="34"/>
      <c r="AQ106" s="36"/>
      <c r="AR106" s="35" t="s">
        <v>73</v>
      </c>
      <c r="AS106" s="34" t="s">
        <v>35</v>
      </c>
      <c r="AT106" s="34" t="s">
        <v>35</v>
      </c>
      <c r="AU106" s="36"/>
      <c r="AV106" s="35"/>
      <c r="AW106" s="34"/>
      <c r="AX106" s="34"/>
      <c r="AY106" s="36"/>
      <c r="BB106" s="12">
        <f>D106</f>
        <v>0</v>
      </c>
      <c r="BC106" s="13">
        <f>H106</f>
        <v>0</v>
      </c>
      <c r="BD106" s="13">
        <f>L106</f>
        <v>0</v>
      </c>
      <c r="BE106" s="3">
        <f>P106</f>
        <v>0</v>
      </c>
      <c r="BF106" s="3">
        <f>T106</f>
        <v>0</v>
      </c>
      <c r="BG106" s="3">
        <f>X106</f>
        <v>0</v>
      </c>
      <c r="BH106" s="3" t="str">
        <f>AB106</f>
        <v>1DE2</v>
      </c>
      <c r="BI106" s="3" t="str">
        <f>AF106</f>
        <v>BCC6</v>
      </c>
      <c r="BJ106" s="3" t="str">
        <f>AJ106</f>
        <v>B9CA</v>
      </c>
      <c r="BK106" s="3">
        <f>AN106</f>
        <v>0</v>
      </c>
      <c r="BL106" s="3" t="str">
        <f>AR106</f>
        <v>25BE</v>
      </c>
      <c r="BM106" s="4">
        <f>AV106</f>
        <v>0</v>
      </c>
      <c r="BO106" s="159" t="s">
        <v>61</v>
      </c>
      <c r="BP106" s="97" t="e">
        <f t="shared" si="7"/>
        <v>#N/A</v>
      </c>
      <c r="BQ106" s="3" t="str">
        <f t="shared" si="8"/>
        <v/>
      </c>
      <c r="BR106" s="97" t="str">
        <f t="shared" si="9"/>
        <v/>
      </c>
      <c r="BS106" s="4" t="e">
        <f t="shared" si="10"/>
        <v>#N/A</v>
      </c>
    </row>
    <row r="107" spans="4:71" x14ac:dyDescent="0.25">
      <c r="D107" s="66"/>
      <c r="E107" s="67"/>
      <c r="F107" s="67"/>
      <c r="G107" s="68"/>
      <c r="H107" s="66"/>
      <c r="I107" s="67"/>
      <c r="J107" s="67"/>
      <c r="K107" s="68"/>
      <c r="L107" s="66"/>
      <c r="M107" s="67"/>
      <c r="N107" s="67"/>
      <c r="O107" s="68"/>
      <c r="P107" s="66"/>
      <c r="Q107" s="67"/>
      <c r="R107" s="67"/>
      <c r="S107" s="68"/>
      <c r="T107" s="66"/>
      <c r="U107" s="67"/>
      <c r="V107" s="67"/>
      <c r="W107" s="68"/>
      <c r="X107" s="66"/>
      <c r="Y107" s="67"/>
      <c r="Z107" s="67"/>
      <c r="AA107" s="68"/>
      <c r="AB107" s="113" t="s">
        <v>69</v>
      </c>
      <c r="AC107" s="34" t="s">
        <v>35</v>
      </c>
      <c r="AD107" s="34" t="s">
        <v>35</v>
      </c>
      <c r="AE107" s="67"/>
      <c r="AF107" s="35" t="s">
        <v>71</v>
      </c>
      <c r="AG107" s="34" t="s">
        <v>35</v>
      </c>
      <c r="AH107" s="34" t="s">
        <v>35</v>
      </c>
      <c r="AI107" s="69"/>
      <c r="AJ107" s="87" t="s">
        <v>75</v>
      </c>
      <c r="AK107" s="34" t="s">
        <v>35</v>
      </c>
      <c r="AL107" s="34" t="s">
        <v>35</v>
      </c>
      <c r="AM107" s="68"/>
      <c r="AN107" s="66"/>
      <c r="AO107" s="67"/>
      <c r="AP107" s="67"/>
      <c r="AQ107" s="68"/>
      <c r="AR107" s="35" t="s">
        <v>74</v>
      </c>
      <c r="AS107" s="34" t="s">
        <v>35</v>
      </c>
      <c r="AT107" s="34" t="s">
        <v>35</v>
      </c>
      <c r="AU107" s="68"/>
      <c r="AV107" s="66"/>
      <c r="AW107" s="67"/>
      <c r="AX107" s="67"/>
      <c r="AY107" s="68"/>
      <c r="BB107" s="12">
        <f>D107</f>
        <v>0</v>
      </c>
      <c r="BC107" s="13">
        <f>H107</f>
        <v>0</v>
      </c>
      <c r="BD107" s="13">
        <f>L107</f>
        <v>0</v>
      </c>
      <c r="BE107" s="3">
        <f>P107</f>
        <v>0</v>
      </c>
      <c r="BF107" s="3">
        <f>T107</f>
        <v>0</v>
      </c>
      <c r="BG107" s="3">
        <f>X107</f>
        <v>0</v>
      </c>
      <c r="BH107" s="3" t="str">
        <f>AB107</f>
        <v>BCC6</v>
      </c>
      <c r="BI107" s="3" t="str">
        <f>AF107</f>
        <v>CA62</v>
      </c>
      <c r="BJ107" s="3" t="str">
        <f>AJ107</f>
        <v>C17E</v>
      </c>
      <c r="BK107" s="3">
        <f>AN107</f>
        <v>0</v>
      </c>
      <c r="BL107" s="3" t="str">
        <f>AR107</f>
        <v>B9CA</v>
      </c>
      <c r="BM107" s="4">
        <f>AV107</f>
        <v>0</v>
      </c>
      <c r="BO107" s="159" t="s">
        <v>47</v>
      </c>
      <c r="BP107" s="97" t="e">
        <f t="shared" si="7"/>
        <v>#N/A</v>
      </c>
      <c r="BQ107" s="3" t="str">
        <f t="shared" si="8"/>
        <v/>
      </c>
      <c r="BR107" s="97" t="str">
        <f t="shared" si="9"/>
        <v/>
      </c>
      <c r="BS107" s="4" t="e">
        <f t="shared" si="10"/>
        <v>#N/A</v>
      </c>
    </row>
    <row r="108" spans="4:71" x14ac:dyDescent="0.25">
      <c r="D108" s="66"/>
      <c r="E108" s="67"/>
      <c r="F108" s="67"/>
      <c r="G108" s="68"/>
      <c r="H108" s="66"/>
      <c r="I108" s="67"/>
      <c r="J108" s="67"/>
      <c r="K108" s="68"/>
      <c r="L108" s="66"/>
      <c r="M108" s="67"/>
      <c r="N108" s="67"/>
      <c r="O108" s="68"/>
      <c r="P108" s="66"/>
      <c r="Q108" s="67"/>
      <c r="R108" s="67"/>
      <c r="S108" s="68"/>
      <c r="T108" s="66"/>
      <c r="U108" s="67"/>
      <c r="V108" s="67"/>
      <c r="W108" s="68"/>
      <c r="X108" s="66"/>
      <c r="Y108" s="67"/>
      <c r="Z108" s="67"/>
      <c r="AA108" s="68"/>
      <c r="AB108" s="35" t="s">
        <v>70</v>
      </c>
      <c r="AC108" s="34" t="s">
        <v>35</v>
      </c>
      <c r="AD108" s="34" t="s">
        <v>35</v>
      </c>
      <c r="AE108" s="67"/>
      <c r="AF108" s="35" t="s">
        <v>72</v>
      </c>
      <c r="AG108" s="34" t="s">
        <v>35</v>
      </c>
      <c r="AH108" s="34" t="s">
        <v>35</v>
      </c>
      <c r="AI108" s="69"/>
      <c r="AJ108" s="88" t="s">
        <v>76</v>
      </c>
      <c r="AK108" s="34" t="s">
        <v>35</v>
      </c>
      <c r="AL108" s="34" t="s">
        <v>35</v>
      </c>
      <c r="AM108" s="68"/>
      <c r="AN108" s="66"/>
      <c r="AO108" s="67"/>
      <c r="AP108" s="67"/>
      <c r="AQ108" s="68"/>
      <c r="AR108" s="66"/>
      <c r="AS108" s="67"/>
      <c r="AT108" s="67"/>
      <c r="AU108" s="68"/>
      <c r="AV108" s="66"/>
      <c r="AW108" s="67"/>
      <c r="AX108" s="67"/>
      <c r="AY108" s="68"/>
      <c r="BB108" s="12">
        <f>D108</f>
        <v>0</v>
      </c>
      <c r="BC108" s="13">
        <f>H108</f>
        <v>0</v>
      </c>
      <c r="BD108" s="13">
        <f>L108</f>
        <v>0</v>
      </c>
      <c r="BE108" s="3">
        <f>P108</f>
        <v>0</v>
      </c>
      <c r="BF108" s="3">
        <f>T108</f>
        <v>0</v>
      </c>
      <c r="BG108" s="3">
        <f>X108</f>
        <v>0</v>
      </c>
      <c r="BH108" s="3" t="str">
        <f>AB108</f>
        <v>25F2</v>
      </c>
      <c r="BI108" s="3" t="str">
        <f>AF108</f>
        <v>298A</v>
      </c>
      <c r="BJ108" s="3" t="str">
        <f>AJ108</f>
        <v>BD5E</v>
      </c>
      <c r="BK108" s="3">
        <f>AN108</f>
        <v>0</v>
      </c>
      <c r="BL108" s="3">
        <f>AR108</f>
        <v>0</v>
      </c>
      <c r="BM108" s="4">
        <f>AV108</f>
        <v>0</v>
      </c>
      <c r="BO108" s="159" t="s">
        <v>51</v>
      </c>
      <c r="BP108" s="97" t="e">
        <f t="shared" si="7"/>
        <v>#N/A</v>
      </c>
      <c r="BQ108" s="3" t="str">
        <f t="shared" si="8"/>
        <v/>
      </c>
      <c r="BR108" s="97" t="e">
        <f t="shared" si="9"/>
        <v>#N/A</v>
      </c>
      <c r="BS108" s="4" t="e">
        <f t="shared" si="10"/>
        <v>#N/A</v>
      </c>
    </row>
    <row r="109" spans="4:71" x14ac:dyDescent="0.25">
      <c r="D109" s="66"/>
      <c r="E109" s="67"/>
      <c r="F109" s="67"/>
      <c r="G109" s="68"/>
      <c r="H109" s="66"/>
      <c r="I109" s="67"/>
      <c r="J109" s="67"/>
      <c r="K109" s="68"/>
      <c r="L109" s="66"/>
      <c r="M109" s="67"/>
      <c r="N109" s="67"/>
      <c r="O109" s="68"/>
      <c r="P109" s="66"/>
      <c r="Q109" s="67"/>
      <c r="R109" s="67"/>
      <c r="S109" s="68"/>
      <c r="T109" s="66"/>
      <c r="U109" s="67"/>
      <c r="V109" s="67"/>
      <c r="W109" s="68"/>
      <c r="X109" s="66"/>
      <c r="Y109" s="67"/>
      <c r="Z109" s="67"/>
      <c r="AA109" s="68"/>
      <c r="AB109" s="35" t="s">
        <v>71</v>
      </c>
      <c r="AC109" s="34" t="s">
        <v>35</v>
      </c>
      <c r="AD109" s="34" t="s">
        <v>35</v>
      </c>
      <c r="AE109" s="67"/>
      <c r="AF109" s="35" t="s">
        <v>74</v>
      </c>
      <c r="AG109" s="34" t="s">
        <v>35</v>
      </c>
      <c r="AH109" s="34" t="s">
        <v>35</v>
      </c>
      <c r="AI109" s="69"/>
      <c r="AJ109" s="66"/>
      <c r="AK109" s="67"/>
      <c r="AL109" s="67"/>
      <c r="AM109" s="68"/>
      <c r="AN109" s="66"/>
      <c r="AO109" s="67"/>
      <c r="AP109" s="67"/>
      <c r="AQ109" s="68"/>
      <c r="AR109" s="66"/>
      <c r="AS109" s="67"/>
      <c r="AT109" s="67"/>
      <c r="AU109" s="68"/>
      <c r="AV109" s="66"/>
      <c r="AW109" s="67"/>
      <c r="AX109" s="67"/>
      <c r="AY109" s="68"/>
      <c r="BB109" s="151">
        <f>D109</f>
        <v>0</v>
      </c>
      <c r="BC109" s="152">
        <f>H109</f>
        <v>0</v>
      </c>
      <c r="BD109" s="152">
        <f>L109</f>
        <v>0</v>
      </c>
      <c r="BE109" s="6">
        <f>P109</f>
        <v>0</v>
      </c>
      <c r="BF109" s="6">
        <f>T109</f>
        <v>0</v>
      </c>
      <c r="BG109" s="6">
        <f>X109</f>
        <v>0</v>
      </c>
      <c r="BH109" s="6" t="str">
        <f>AB109</f>
        <v>CA62</v>
      </c>
      <c r="BI109" s="6" t="str">
        <f>AF109</f>
        <v>B9CA</v>
      </c>
      <c r="BJ109" s="6">
        <f>AJ109</f>
        <v>0</v>
      </c>
      <c r="BK109" s="6">
        <f>AN109</f>
        <v>0</v>
      </c>
      <c r="BL109" s="6">
        <f>AR109</f>
        <v>0</v>
      </c>
      <c r="BM109" s="7">
        <f>AV109</f>
        <v>0</v>
      </c>
      <c r="BO109" s="159" t="s">
        <v>52</v>
      </c>
      <c r="BP109" s="97" t="e">
        <f t="shared" si="7"/>
        <v>#N/A</v>
      </c>
      <c r="BQ109" s="3" t="str">
        <f t="shared" si="8"/>
        <v/>
      </c>
      <c r="BR109" s="97" t="e">
        <f t="shared" si="9"/>
        <v>#N/A</v>
      </c>
      <c r="BS109" s="4" t="e">
        <f t="shared" si="10"/>
        <v>#N/A</v>
      </c>
    </row>
    <row r="110" spans="4:71" x14ac:dyDescent="0.25">
      <c r="D110" s="66"/>
      <c r="E110" s="67"/>
      <c r="F110" s="67"/>
      <c r="G110" s="68"/>
      <c r="H110" s="66"/>
      <c r="I110" s="67"/>
      <c r="J110" s="67"/>
      <c r="K110" s="68"/>
      <c r="L110" s="66"/>
      <c r="M110" s="67"/>
      <c r="N110" s="67"/>
      <c r="O110" s="68"/>
      <c r="P110" s="66"/>
      <c r="Q110" s="67"/>
      <c r="R110" s="67"/>
      <c r="S110" s="68"/>
      <c r="T110" s="66"/>
      <c r="U110" s="67"/>
      <c r="V110" s="67"/>
      <c r="W110" s="68"/>
      <c r="X110" s="66"/>
      <c r="Y110" s="67"/>
      <c r="Z110" s="67"/>
      <c r="AA110" s="68"/>
      <c r="AB110" s="35" t="s">
        <v>72</v>
      </c>
      <c r="AC110" s="34" t="s">
        <v>35</v>
      </c>
      <c r="AD110" s="34" t="s">
        <v>35</v>
      </c>
      <c r="AE110" s="67"/>
      <c r="AF110" s="87" t="s">
        <v>75</v>
      </c>
      <c r="AG110" s="34" t="s">
        <v>35</v>
      </c>
      <c r="AH110" s="34" t="s">
        <v>35</v>
      </c>
      <c r="AI110" s="69"/>
      <c r="AJ110" s="66"/>
      <c r="AK110" s="67"/>
      <c r="AL110" s="67"/>
      <c r="AM110" s="68"/>
      <c r="AN110" s="66"/>
      <c r="AO110" s="67"/>
      <c r="AP110" s="67"/>
      <c r="AQ110" s="68"/>
      <c r="AR110" s="66"/>
      <c r="AS110" s="67"/>
      <c r="AT110" s="67"/>
      <c r="AU110" s="68"/>
      <c r="AV110" s="66"/>
      <c r="AW110" s="67"/>
      <c r="AX110" s="67"/>
      <c r="AY110" s="68"/>
      <c r="BB110" s="151">
        <f t="shared" ref="BB110:BB111" si="12">D110</f>
        <v>0</v>
      </c>
      <c r="BC110" s="152">
        <f t="shared" ref="BC110:BC111" si="13">H110</f>
        <v>0</v>
      </c>
      <c r="BD110" s="152">
        <f t="shared" ref="BD110:BD112" si="14">L110</f>
        <v>0</v>
      </c>
      <c r="BE110" s="6">
        <f t="shared" ref="BE110:BE112" si="15">P110</f>
        <v>0</v>
      </c>
      <c r="BF110" s="6">
        <f t="shared" ref="BF110:BF112" si="16">T110</f>
        <v>0</v>
      </c>
      <c r="BG110" s="6">
        <f t="shared" ref="BG110:BG112" si="17">X110</f>
        <v>0</v>
      </c>
      <c r="BH110" s="6" t="str">
        <f t="shared" ref="BH110:BH112" si="18">AB110</f>
        <v>298A</v>
      </c>
      <c r="BI110" s="6" t="str">
        <f t="shared" ref="BI110:BI112" si="19">AF110</f>
        <v>C17E</v>
      </c>
      <c r="BJ110" s="6">
        <f t="shared" ref="BJ110:BJ112" si="20">AJ110</f>
        <v>0</v>
      </c>
      <c r="BK110" s="6">
        <f t="shared" ref="BK110:BK112" si="21">AN110</f>
        <v>0</v>
      </c>
      <c r="BL110" s="6">
        <f t="shared" ref="BL110:BL112" si="22">AR110</f>
        <v>0</v>
      </c>
      <c r="BM110" s="7">
        <f t="shared" ref="BM110:BM112" si="23">AV110</f>
        <v>0</v>
      </c>
      <c r="BO110" s="159" t="s">
        <v>46</v>
      </c>
      <c r="BP110" s="97" t="e">
        <f t="shared" si="7"/>
        <v>#N/A</v>
      </c>
      <c r="BQ110" s="3" t="str">
        <f t="shared" si="8"/>
        <v/>
      </c>
      <c r="BR110" s="97" t="str">
        <f t="shared" si="9"/>
        <v/>
      </c>
      <c r="BS110" s="4" t="e">
        <f t="shared" si="10"/>
        <v>#N/A</v>
      </c>
    </row>
    <row r="111" spans="4:71" x14ac:dyDescent="0.25">
      <c r="D111" s="10"/>
      <c r="E111" s="16"/>
      <c r="F111" s="16"/>
      <c r="G111" s="17"/>
      <c r="H111" s="10"/>
      <c r="I111" s="16"/>
      <c r="J111" s="16"/>
      <c r="K111" s="17"/>
      <c r="L111" s="10"/>
      <c r="M111" s="16"/>
      <c r="N111" s="16"/>
      <c r="O111" s="17"/>
      <c r="P111" s="10"/>
      <c r="Q111" s="16"/>
      <c r="R111" s="16"/>
      <c r="S111" s="17"/>
      <c r="T111" s="10"/>
      <c r="U111" s="16"/>
      <c r="V111" s="16"/>
      <c r="W111" s="17"/>
      <c r="X111" s="10"/>
      <c r="Y111" s="16"/>
      <c r="Z111" s="16"/>
      <c r="AA111" s="17"/>
      <c r="AB111" s="35" t="s">
        <v>73</v>
      </c>
      <c r="AC111" s="34" t="s">
        <v>35</v>
      </c>
      <c r="AD111" s="34" t="s">
        <v>35</v>
      </c>
      <c r="AE111" s="16"/>
      <c r="AF111" s="88" t="s">
        <v>76</v>
      </c>
      <c r="AG111" s="34" t="s">
        <v>35</v>
      </c>
      <c r="AH111" s="34" t="s">
        <v>35</v>
      </c>
      <c r="AI111" s="17"/>
      <c r="AJ111" s="10"/>
      <c r="AK111" s="16"/>
      <c r="AL111" s="16"/>
      <c r="AM111" s="17"/>
      <c r="AN111" s="10"/>
      <c r="AO111" s="16"/>
      <c r="AP111" s="16"/>
      <c r="AQ111" s="17"/>
      <c r="AR111" s="10"/>
      <c r="AS111" s="16"/>
      <c r="AT111" s="16"/>
      <c r="AU111" s="17"/>
      <c r="AV111" s="10"/>
      <c r="AW111" s="16"/>
      <c r="AX111" s="16"/>
      <c r="AY111" s="17"/>
      <c r="BB111" s="151">
        <f t="shared" si="12"/>
        <v>0</v>
      </c>
      <c r="BC111" s="152">
        <f t="shared" si="13"/>
        <v>0</v>
      </c>
      <c r="BD111" s="152">
        <f t="shared" si="14"/>
        <v>0</v>
      </c>
      <c r="BE111" s="6">
        <f t="shared" si="15"/>
        <v>0</v>
      </c>
      <c r="BF111" s="6">
        <f t="shared" si="16"/>
        <v>0</v>
      </c>
      <c r="BG111" s="6">
        <f t="shared" si="17"/>
        <v>0</v>
      </c>
      <c r="BH111" s="6" t="str">
        <f t="shared" si="18"/>
        <v>25BE</v>
      </c>
      <c r="BI111" s="6" t="str">
        <f t="shared" si="19"/>
        <v>BD5E</v>
      </c>
      <c r="BJ111" s="6">
        <f t="shared" si="20"/>
        <v>0</v>
      </c>
      <c r="BK111" s="6">
        <f t="shared" si="21"/>
        <v>0</v>
      </c>
      <c r="BL111" s="6">
        <f t="shared" si="22"/>
        <v>0</v>
      </c>
      <c r="BM111" s="7">
        <f t="shared" si="23"/>
        <v>0</v>
      </c>
      <c r="BO111" s="190" t="s">
        <v>68</v>
      </c>
      <c r="BP111" s="97" t="e">
        <f t="shared" si="7"/>
        <v>#N/A</v>
      </c>
      <c r="BQ111" s="3" t="e">
        <f t="shared" si="8"/>
        <v>#N/A</v>
      </c>
      <c r="BR111" s="97" t="str">
        <f t="shared" si="9"/>
        <v/>
      </c>
      <c r="BS111" s="4" t="str">
        <f t="shared" si="10"/>
        <v/>
      </c>
    </row>
    <row r="112" spans="4:71" x14ac:dyDescent="0.25">
      <c r="D112" s="10"/>
      <c r="E112" s="16"/>
      <c r="F112" s="16"/>
      <c r="G112" s="17"/>
      <c r="H112" s="10"/>
      <c r="I112" s="16"/>
      <c r="J112" s="16"/>
      <c r="K112" s="17"/>
      <c r="L112" s="10"/>
      <c r="M112" s="16"/>
      <c r="N112" s="16"/>
      <c r="O112" s="17"/>
      <c r="P112" s="10"/>
      <c r="Q112" s="16"/>
      <c r="R112" s="16"/>
      <c r="S112" s="17"/>
      <c r="T112" s="10"/>
      <c r="U112" s="16"/>
      <c r="V112" s="16"/>
      <c r="W112" s="17"/>
      <c r="X112" s="10"/>
      <c r="Y112" s="16"/>
      <c r="Z112" s="16"/>
      <c r="AA112" s="17"/>
      <c r="AB112" s="35" t="s">
        <v>74</v>
      </c>
      <c r="AC112" s="34" t="s">
        <v>35</v>
      </c>
      <c r="AD112" s="34" t="s">
        <v>35</v>
      </c>
      <c r="AE112" s="16"/>
      <c r="AF112" s="10"/>
      <c r="AG112" s="16"/>
      <c r="AH112" s="16"/>
      <c r="AI112" s="17"/>
      <c r="AJ112" s="10"/>
      <c r="AK112" s="16"/>
      <c r="AL112" s="16"/>
      <c r="AM112" s="17"/>
      <c r="AN112" s="10"/>
      <c r="AO112" s="16"/>
      <c r="AP112" s="16"/>
      <c r="AQ112" s="17"/>
      <c r="AR112" s="10"/>
      <c r="AS112" s="16"/>
      <c r="AT112" s="16"/>
      <c r="AU112" s="17"/>
      <c r="AV112" s="10"/>
      <c r="AW112" s="16"/>
      <c r="AX112" s="16"/>
      <c r="AY112" s="17"/>
      <c r="BB112" s="151">
        <f t="shared" ref="BB112:BB115" si="24">D112</f>
        <v>0</v>
      </c>
      <c r="BC112" s="152">
        <f t="shared" ref="BC112:BC115" si="25">H112</f>
        <v>0</v>
      </c>
      <c r="BD112" s="152">
        <f t="shared" si="14"/>
        <v>0</v>
      </c>
      <c r="BE112" s="6">
        <f t="shared" si="15"/>
        <v>0</v>
      </c>
      <c r="BF112" s="6">
        <f t="shared" si="16"/>
        <v>0</v>
      </c>
      <c r="BG112" s="6">
        <f t="shared" si="17"/>
        <v>0</v>
      </c>
      <c r="BH112" s="6" t="str">
        <f t="shared" si="18"/>
        <v>B9CA</v>
      </c>
      <c r="BI112" s="6">
        <f t="shared" si="19"/>
        <v>0</v>
      </c>
      <c r="BJ112" s="6">
        <f t="shared" si="20"/>
        <v>0</v>
      </c>
      <c r="BK112" s="6">
        <f t="shared" si="21"/>
        <v>0</v>
      </c>
      <c r="BL112" s="6">
        <f t="shared" si="22"/>
        <v>0</v>
      </c>
      <c r="BM112" s="7">
        <f t="shared" si="23"/>
        <v>0</v>
      </c>
      <c r="BO112" s="137" t="s">
        <v>31</v>
      </c>
      <c r="BP112" s="97" t="e">
        <f t="shared" si="7"/>
        <v>#N/A</v>
      </c>
      <c r="BQ112" s="3" t="e">
        <f t="shared" si="8"/>
        <v>#N/A</v>
      </c>
      <c r="BR112" s="97" t="str">
        <f t="shared" si="9"/>
        <v/>
      </c>
      <c r="BS112" s="204" t="str">
        <f t="shared" si="10"/>
        <v>1DE2</v>
      </c>
    </row>
    <row r="113" spans="1:71" x14ac:dyDescent="0.25">
      <c r="D113" s="10"/>
      <c r="E113" s="16"/>
      <c r="F113" s="16"/>
      <c r="G113" s="17"/>
      <c r="H113" s="10"/>
      <c r="I113" s="16"/>
      <c r="J113" s="16"/>
      <c r="K113" s="17"/>
      <c r="L113" s="10"/>
      <c r="M113" s="16"/>
      <c r="N113" s="16"/>
      <c r="O113" s="17"/>
      <c r="P113" s="10"/>
      <c r="Q113" s="16"/>
      <c r="R113" s="16"/>
      <c r="S113" s="17"/>
      <c r="T113" s="10"/>
      <c r="U113" s="16"/>
      <c r="V113" s="16"/>
      <c r="W113" s="17"/>
      <c r="X113" s="10"/>
      <c r="Y113" s="16"/>
      <c r="Z113" s="16"/>
      <c r="AA113" s="17"/>
      <c r="AB113" s="87" t="s">
        <v>75</v>
      </c>
      <c r="AC113" s="34" t="s">
        <v>35</v>
      </c>
      <c r="AD113" s="34" t="s">
        <v>35</v>
      </c>
      <c r="AE113" s="16"/>
      <c r="AF113" s="10"/>
      <c r="AG113" s="16"/>
      <c r="AH113" s="16"/>
      <c r="AI113" s="17"/>
      <c r="AJ113" s="10"/>
      <c r="AK113" s="16"/>
      <c r="AL113" s="16"/>
      <c r="AM113" s="17"/>
      <c r="AN113" s="10"/>
      <c r="AO113" s="16"/>
      <c r="AP113" s="16"/>
      <c r="AQ113" s="17"/>
      <c r="AR113" s="10"/>
      <c r="AS113" s="16"/>
      <c r="AT113" s="16"/>
      <c r="AU113" s="17"/>
      <c r="AV113" s="10"/>
      <c r="AW113" s="16"/>
      <c r="AX113" s="16"/>
      <c r="AY113" s="17"/>
      <c r="BB113" s="151">
        <f t="shared" si="24"/>
        <v>0</v>
      </c>
      <c r="BC113" s="152">
        <f t="shared" si="25"/>
        <v>0</v>
      </c>
      <c r="BD113" s="152">
        <f>L113</f>
        <v>0</v>
      </c>
      <c r="BE113" s="6">
        <f>P113</f>
        <v>0</v>
      </c>
      <c r="BF113" s="6">
        <f>T113</f>
        <v>0</v>
      </c>
      <c r="BG113" s="6">
        <f>X113</f>
        <v>0</v>
      </c>
      <c r="BH113" s="6" t="str">
        <f>AB113</f>
        <v>C17E</v>
      </c>
      <c r="BI113" s="6">
        <f>AF113</f>
        <v>0</v>
      </c>
      <c r="BJ113" s="6">
        <f>AJ113</f>
        <v>0</v>
      </c>
      <c r="BK113" s="6">
        <f>AN113</f>
        <v>0</v>
      </c>
      <c r="BL113" s="6">
        <f>AR113</f>
        <v>0</v>
      </c>
      <c r="BM113" s="7">
        <f>AV113</f>
        <v>0</v>
      </c>
      <c r="BO113" s="139" t="s">
        <v>77</v>
      </c>
      <c r="BP113" s="97" t="e">
        <f t="shared" si="7"/>
        <v>#N/A</v>
      </c>
      <c r="BQ113" s="3" t="e">
        <f t="shared" si="8"/>
        <v>#N/A</v>
      </c>
      <c r="BR113" s="97" t="str">
        <f t="shared" si="9"/>
        <v/>
      </c>
      <c r="BS113" s="4" t="str">
        <f t="shared" si="10"/>
        <v/>
      </c>
    </row>
    <row r="114" spans="1:71" x14ac:dyDescent="0.25">
      <c r="D114" s="10"/>
      <c r="E114" s="16"/>
      <c r="F114" s="16"/>
      <c r="G114" s="17"/>
      <c r="H114" s="10"/>
      <c r="I114" s="16"/>
      <c r="J114" s="16"/>
      <c r="K114" s="17"/>
      <c r="L114" s="10"/>
      <c r="M114" s="16"/>
      <c r="N114" s="16"/>
      <c r="O114" s="17"/>
      <c r="P114" s="10"/>
      <c r="Q114" s="16"/>
      <c r="R114" s="16"/>
      <c r="S114" s="17"/>
      <c r="T114" s="10"/>
      <c r="U114" s="16"/>
      <c r="V114" s="16"/>
      <c r="W114" s="17"/>
      <c r="X114" s="10"/>
      <c r="Y114" s="16"/>
      <c r="Z114" s="16"/>
      <c r="AA114" s="17"/>
      <c r="AB114" s="88" t="s">
        <v>76</v>
      </c>
      <c r="AC114" s="34" t="s">
        <v>35</v>
      </c>
      <c r="AD114" s="34" t="s">
        <v>35</v>
      </c>
      <c r="AE114" s="16"/>
      <c r="AF114" s="10"/>
      <c r="AG114" s="16"/>
      <c r="AH114" s="16"/>
      <c r="AI114" s="17"/>
      <c r="AJ114" s="10"/>
      <c r="AK114" s="16"/>
      <c r="AL114" s="16"/>
      <c r="AM114" s="17"/>
      <c r="AN114" s="10"/>
      <c r="AO114" s="16"/>
      <c r="AP114" s="16"/>
      <c r="AQ114" s="17"/>
      <c r="AR114" s="10"/>
      <c r="AS114" s="16"/>
      <c r="AT114" s="16"/>
      <c r="AU114" s="17"/>
      <c r="AV114" s="10"/>
      <c r="AW114" s="16"/>
      <c r="AX114" s="16"/>
      <c r="AY114" s="17"/>
      <c r="BB114" s="151">
        <f t="shared" si="24"/>
        <v>0</v>
      </c>
      <c r="BC114" s="152">
        <f t="shared" si="25"/>
        <v>0</v>
      </c>
      <c r="BD114" s="152">
        <f t="shared" ref="BD114" si="26">L114</f>
        <v>0</v>
      </c>
      <c r="BE114" s="6">
        <f t="shared" ref="BE114" si="27">P114</f>
        <v>0</v>
      </c>
      <c r="BF114" s="6">
        <f t="shared" ref="BF114" si="28">T114</f>
        <v>0</v>
      </c>
      <c r="BG114" s="6">
        <f t="shared" ref="BG114" si="29">X114</f>
        <v>0</v>
      </c>
      <c r="BH114" s="6" t="str">
        <f t="shared" ref="BH114" si="30">AB114</f>
        <v>BD5E</v>
      </c>
      <c r="BI114" s="6">
        <f t="shared" ref="BI114" si="31">AF114</f>
        <v>0</v>
      </c>
      <c r="BJ114" s="6">
        <f t="shared" ref="BJ114" si="32">AJ114</f>
        <v>0</v>
      </c>
      <c r="BK114" s="6">
        <f t="shared" ref="BK114" si="33">AN114</f>
        <v>0</v>
      </c>
      <c r="BL114" s="6">
        <f t="shared" ref="BL114" si="34">AR114</f>
        <v>0</v>
      </c>
      <c r="BM114" s="7">
        <f t="shared" ref="BM114" si="35">AV114</f>
        <v>0</v>
      </c>
      <c r="BO114" s="97" t="s">
        <v>73</v>
      </c>
      <c r="BP114" s="97" t="e">
        <f t="shared" si="7"/>
        <v>#N/A</v>
      </c>
      <c r="BQ114" s="3" t="e">
        <f t="shared" si="8"/>
        <v>#N/A</v>
      </c>
      <c r="BR114" s="97" t="str">
        <f t="shared" si="9"/>
        <v/>
      </c>
      <c r="BS114" s="4" t="str">
        <f t="shared" si="10"/>
        <v/>
      </c>
    </row>
    <row r="115" spans="1:71" x14ac:dyDescent="0.25">
      <c r="D115" s="10"/>
      <c r="E115" s="16"/>
      <c r="F115" s="16"/>
      <c r="G115" s="17"/>
      <c r="H115" s="10"/>
      <c r="I115" s="16"/>
      <c r="J115" s="16"/>
      <c r="K115" s="17"/>
      <c r="L115" s="10"/>
      <c r="M115" s="16"/>
      <c r="N115" s="16"/>
      <c r="O115" s="17"/>
      <c r="P115" s="10"/>
      <c r="Q115" s="16"/>
      <c r="R115" s="16"/>
      <c r="S115" s="17"/>
      <c r="T115" s="10"/>
      <c r="U115" s="16"/>
      <c r="V115" s="16"/>
      <c r="W115" s="17"/>
      <c r="X115" s="10"/>
      <c r="Y115" s="16"/>
      <c r="Z115" s="16"/>
      <c r="AA115" s="17"/>
      <c r="AB115" s="89" t="s">
        <v>77</v>
      </c>
      <c r="AC115" s="34" t="s">
        <v>35</v>
      </c>
      <c r="AD115" s="34" t="s">
        <v>35</v>
      </c>
      <c r="AE115" s="16"/>
      <c r="AF115" s="10"/>
      <c r="AG115" s="16"/>
      <c r="AH115" s="16"/>
      <c r="AI115" s="17"/>
      <c r="AJ115" s="10"/>
      <c r="AK115" s="16"/>
      <c r="AL115" s="16"/>
      <c r="AM115" s="17"/>
      <c r="AN115" s="10"/>
      <c r="AO115" s="16"/>
      <c r="AP115" s="16"/>
      <c r="AQ115" s="17"/>
      <c r="AR115" s="10"/>
      <c r="AS115" s="16"/>
      <c r="AT115" s="16"/>
      <c r="AU115" s="17"/>
      <c r="AV115" s="10"/>
      <c r="AW115" s="16"/>
      <c r="AX115" s="16"/>
      <c r="AY115" s="17"/>
      <c r="BB115" s="151">
        <f t="shared" si="24"/>
        <v>0</v>
      </c>
      <c r="BC115" s="152">
        <f t="shared" si="25"/>
        <v>0</v>
      </c>
      <c r="BD115" s="152">
        <f>L115</f>
        <v>0</v>
      </c>
      <c r="BE115" s="6">
        <f>P115</f>
        <v>0</v>
      </c>
      <c r="BF115" s="6">
        <f>T115</f>
        <v>0</v>
      </c>
      <c r="BG115" s="6">
        <f>X115</f>
        <v>0</v>
      </c>
      <c r="BH115" s="6" t="str">
        <f>AB115</f>
        <v>211E</v>
      </c>
      <c r="BI115" s="6">
        <f>AF115</f>
        <v>0</v>
      </c>
      <c r="BJ115" s="6">
        <f>AJ115</f>
        <v>0</v>
      </c>
      <c r="BK115" s="6">
        <f>AN115</f>
        <v>0</v>
      </c>
      <c r="BL115" s="6">
        <f>AR115</f>
        <v>0</v>
      </c>
      <c r="BM115" s="7">
        <f>AV115</f>
        <v>0</v>
      </c>
      <c r="BO115" s="97" t="s">
        <v>70</v>
      </c>
      <c r="BP115" s="97" t="e">
        <f t="shared" si="7"/>
        <v>#N/A</v>
      </c>
      <c r="BQ115" s="3" t="e">
        <f t="shared" si="8"/>
        <v>#N/A</v>
      </c>
      <c r="BR115" s="97" t="str">
        <f t="shared" si="9"/>
        <v/>
      </c>
      <c r="BS115" s="4" t="e">
        <f t="shared" si="10"/>
        <v>#N/A</v>
      </c>
    </row>
    <row r="116" spans="1:71" x14ac:dyDescent="0.25">
      <c r="D116" s="10"/>
      <c r="E116" s="16"/>
      <c r="F116" s="16"/>
      <c r="G116" s="17"/>
      <c r="H116" s="10"/>
      <c r="I116" s="16"/>
      <c r="J116" s="16"/>
      <c r="K116" s="17"/>
      <c r="L116" s="10"/>
      <c r="M116" s="16"/>
      <c r="N116" s="16"/>
      <c r="O116" s="17"/>
      <c r="P116" s="10"/>
      <c r="Q116" s="16"/>
      <c r="R116" s="16"/>
      <c r="S116" s="17"/>
      <c r="T116" s="10"/>
      <c r="U116" s="16"/>
      <c r="V116" s="16"/>
      <c r="W116" s="17"/>
      <c r="X116" s="10"/>
      <c r="Y116" s="16"/>
      <c r="Z116" s="16"/>
      <c r="AA116" s="17"/>
      <c r="AB116" s="10"/>
      <c r="AC116" s="16"/>
      <c r="AD116" s="16"/>
      <c r="AE116" s="16"/>
      <c r="AF116" s="10"/>
      <c r="AG116" s="16"/>
      <c r="AH116" s="16"/>
      <c r="AI116" s="17"/>
      <c r="AJ116" s="10"/>
      <c r="AK116" s="16"/>
      <c r="AL116" s="16"/>
      <c r="AM116" s="17"/>
      <c r="AN116" s="10"/>
      <c r="AO116" s="16"/>
      <c r="AP116" s="16"/>
      <c r="AQ116" s="17"/>
      <c r="AR116" s="10"/>
      <c r="AS116" s="16"/>
      <c r="AT116" s="16"/>
      <c r="AU116" s="17"/>
      <c r="AV116" s="10"/>
      <c r="AW116" s="16"/>
      <c r="AX116" s="16"/>
      <c r="AY116" s="17"/>
      <c r="BB116" s="151">
        <f t="shared" ref="BB116" si="36">D116</f>
        <v>0</v>
      </c>
      <c r="BC116" s="152">
        <f t="shared" ref="BC116" si="37">H116</f>
        <v>0</v>
      </c>
      <c r="BD116" s="152">
        <f t="shared" ref="BD116" si="38">L116</f>
        <v>0</v>
      </c>
      <c r="BE116" s="6">
        <f t="shared" ref="BE116" si="39">P116</f>
        <v>0</v>
      </c>
      <c r="BF116" s="6">
        <f t="shared" ref="BF116" si="40">T116</f>
        <v>0</v>
      </c>
      <c r="BG116" s="6">
        <f t="shared" ref="BG116" si="41">X116</f>
        <v>0</v>
      </c>
      <c r="BH116" s="6">
        <f t="shared" ref="BH116" si="42">AB116</f>
        <v>0</v>
      </c>
      <c r="BI116" s="6">
        <f t="shared" ref="BI116" si="43">AF116</f>
        <v>0</v>
      </c>
      <c r="BJ116" s="6">
        <f t="shared" ref="BJ116" si="44">AJ116</f>
        <v>0</v>
      </c>
      <c r="BK116" s="6">
        <f t="shared" ref="BK116" si="45">AN116</f>
        <v>0</v>
      </c>
      <c r="BL116" s="6">
        <f t="shared" ref="BL116" si="46">AR116</f>
        <v>0</v>
      </c>
      <c r="BM116" s="7">
        <f t="shared" ref="BM116" si="47">AV116</f>
        <v>0</v>
      </c>
      <c r="BO116" s="97" t="s">
        <v>72</v>
      </c>
      <c r="BP116" s="97" t="e">
        <f t="shared" si="7"/>
        <v>#N/A</v>
      </c>
      <c r="BQ116" s="3" t="e">
        <f t="shared" si="8"/>
        <v>#N/A</v>
      </c>
      <c r="BR116" s="97" t="str">
        <f t="shared" si="9"/>
        <v/>
      </c>
      <c r="BS116" s="4" t="e">
        <f t="shared" si="10"/>
        <v>#N/A</v>
      </c>
    </row>
    <row r="117" spans="1:71" x14ac:dyDescent="0.25">
      <c r="D117" s="18"/>
      <c r="E117" s="19"/>
      <c r="F117" s="19"/>
      <c r="G117" s="20"/>
      <c r="H117" s="18"/>
      <c r="I117" s="19"/>
      <c r="J117" s="19"/>
      <c r="K117" s="20"/>
      <c r="L117" s="18"/>
      <c r="M117" s="19"/>
      <c r="N117" s="19"/>
      <c r="O117" s="20"/>
      <c r="P117" s="18"/>
      <c r="Q117" s="19"/>
      <c r="R117" s="19"/>
      <c r="S117" s="20"/>
      <c r="T117" s="18"/>
      <c r="U117" s="19"/>
      <c r="V117" s="19"/>
      <c r="W117" s="20"/>
      <c r="X117" s="18"/>
      <c r="Y117" s="19"/>
      <c r="Z117" s="19"/>
      <c r="AA117" s="20"/>
      <c r="AB117" s="18"/>
      <c r="AC117" s="19"/>
      <c r="AD117" s="19"/>
      <c r="AE117" s="19"/>
      <c r="AF117" s="18"/>
      <c r="AG117" s="19"/>
      <c r="AH117" s="19"/>
      <c r="AI117" s="20"/>
      <c r="AJ117" s="18"/>
      <c r="AK117" s="19"/>
      <c r="AL117" s="19"/>
      <c r="AM117" s="20"/>
      <c r="AN117" s="18"/>
      <c r="AO117" s="19"/>
      <c r="AP117" s="19"/>
      <c r="AQ117" s="20"/>
      <c r="AR117" s="18"/>
      <c r="AS117" s="19"/>
      <c r="AT117" s="19"/>
      <c r="AU117" s="20"/>
      <c r="AV117" s="18"/>
      <c r="AW117" s="19"/>
      <c r="AX117" s="19"/>
      <c r="AY117" s="20"/>
      <c r="BB117" s="43"/>
      <c r="BO117" s="97" t="s">
        <v>64</v>
      </c>
      <c r="BP117" s="97" t="e">
        <f t="shared" si="7"/>
        <v>#N/A</v>
      </c>
      <c r="BQ117" s="3" t="e">
        <f t="shared" si="8"/>
        <v>#N/A</v>
      </c>
      <c r="BR117" s="97" t="str">
        <f t="shared" si="9"/>
        <v/>
      </c>
      <c r="BS117" s="4" t="e">
        <f t="shared" si="10"/>
        <v>#N/A</v>
      </c>
    </row>
    <row r="118" spans="1:71" x14ac:dyDescent="0.25">
      <c r="BB118" s="43"/>
      <c r="BO118" s="97" t="s">
        <v>66</v>
      </c>
      <c r="BP118" s="97" t="e">
        <f t="shared" si="7"/>
        <v>#N/A</v>
      </c>
      <c r="BQ118" s="3" t="e">
        <f t="shared" si="8"/>
        <v>#N/A</v>
      </c>
      <c r="BR118" s="97" t="str">
        <f t="shared" si="9"/>
        <v/>
      </c>
      <c r="BS118" s="4" t="e">
        <f t="shared" si="10"/>
        <v>#N/A</v>
      </c>
    </row>
    <row r="119" spans="1:71" ht="18.75" x14ac:dyDescent="0.25">
      <c r="D119" s="136">
        <v>2025</v>
      </c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BB119" s="43"/>
      <c r="BO119" s="97" t="s">
        <v>67</v>
      </c>
      <c r="BP119" s="97" t="e">
        <f t="shared" si="7"/>
        <v>#N/A</v>
      </c>
      <c r="BQ119" s="3" t="e">
        <f t="shared" si="8"/>
        <v>#N/A</v>
      </c>
      <c r="BR119" s="97" t="str">
        <f t="shared" si="9"/>
        <v/>
      </c>
      <c r="BS119" s="4" t="e">
        <f t="shared" si="10"/>
        <v>#N/A</v>
      </c>
    </row>
    <row r="120" spans="1:71" x14ac:dyDescent="0.25">
      <c r="D120" s="133" t="s">
        <v>0</v>
      </c>
      <c r="E120" s="134"/>
      <c r="F120" s="134"/>
      <c r="G120" s="135"/>
      <c r="H120" s="126" t="s">
        <v>1</v>
      </c>
      <c r="I120" s="127"/>
      <c r="J120" s="127"/>
      <c r="K120" s="128"/>
      <c r="L120" s="126" t="s">
        <v>2</v>
      </c>
      <c r="M120" s="127"/>
      <c r="N120" s="127"/>
      <c r="O120" s="128"/>
      <c r="P120" s="126" t="s">
        <v>3</v>
      </c>
      <c r="Q120" s="127"/>
      <c r="R120" s="127"/>
      <c r="S120" s="128"/>
      <c r="T120" s="126" t="s">
        <v>4</v>
      </c>
      <c r="U120" s="127"/>
      <c r="V120" s="127"/>
      <c r="W120" s="128"/>
      <c r="X120" s="126" t="s">
        <v>5</v>
      </c>
      <c r="Y120" s="127"/>
      <c r="Z120" s="127"/>
      <c r="AA120" s="128"/>
      <c r="AB120" s="126" t="s">
        <v>6</v>
      </c>
      <c r="AC120" s="127"/>
      <c r="AD120" s="127"/>
      <c r="AE120" s="127"/>
      <c r="AF120" s="129" t="s">
        <v>7</v>
      </c>
      <c r="AG120" s="130"/>
      <c r="AH120" s="130"/>
      <c r="AI120" s="131"/>
      <c r="AJ120" s="126" t="s">
        <v>8</v>
      </c>
      <c r="AK120" s="127"/>
      <c r="AL120" s="127"/>
      <c r="AM120" s="128"/>
      <c r="AN120" s="126" t="s">
        <v>9</v>
      </c>
      <c r="AO120" s="127"/>
      <c r="AP120" s="127"/>
      <c r="AQ120" s="128"/>
      <c r="AR120" s="126" t="s">
        <v>10</v>
      </c>
      <c r="AS120" s="127"/>
      <c r="AT120" s="127"/>
      <c r="AU120" s="128"/>
      <c r="AV120" s="126" t="s">
        <v>11</v>
      </c>
      <c r="AW120" s="127"/>
      <c r="AX120" s="127"/>
      <c r="AY120" s="128"/>
      <c r="BB120" s="153">
        <v>2025</v>
      </c>
      <c r="BC120" s="153"/>
      <c r="BD120" s="153"/>
      <c r="BE120" s="153"/>
      <c r="BF120" s="153"/>
      <c r="BG120" s="153"/>
      <c r="BH120" s="153"/>
      <c r="BI120" s="153"/>
      <c r="BJ120" s="153"/>
      <c r="BK120" s="153"/>
      <c r="BL120" s="153"/>
      <c r="BM120" s="153"/>
      <c r="BO120" s="186" t="s">
        <v>65</v>
      </c>
      <c r="BP120" s="97" t="e">
        <f t="shared" si="7"/>
        <v>#N/A</v>
      </c>
      <c r="BQ120" s="3" t="e">
        <f t="shared" si="8"/>
        <v>#N/A</v>
      </c>
      <c r="BR120" s="97" t="str">
        <f t="shared" si="9"/>
        <v/>
      </c>
      <c r="BS120" s="205" t="str">
        <f t="shared" si="10"/>
        <v>B7BE</v>
      </c>
    </row>
    <row r="121" spans="1:71" x14ac:dyDescent="0.25">
      <c r="A121" s="74" t="s">
        <v>28</v>
      </c>
      <c r="B121" s="26" t="s">
        <v>80</v>
      </c>
      <c r="C121" s="26" t="s">
        <v>95</v>
      </c>
      <c r="D121" s="75" t="s">
        <v>12</v>
      </c>
      <c r="E121" s="76" t="s">
        <v>13</v>
      </c>
      <c r="F121" s="76" t="s">
        <v>14</v>
      </c>
      <c r="G121" s="77" t="s">
        <v>15</v>
      </c>
      <c r="H121" s="71" t="s">
        <v>12</v>
      </c>
      <c r="I121" s="72" t="s">
        <v>13</v>
      </c>
      <c r="J121" s="72" t="s">
        <v>14</v>
      </c>
      <c r="K121" s="73" t="s">
        <v>15</v>
      </c>
      <c r="L121" s="75" t="s">
        <v>12</v>
      </c>
      <c r="M121" s="76" t="s">
        <v>13</v>
      </c>
      <c r="N121" s="76" t="s">
        <v>14</v>
      </c>
      <c r="O121" s="77" t="s">
        <v>15</v>
      </c>
      <c r="P121" s="75" t="s">
        <v>12</v>
      </c>
      <c r="Q121" s="76" t="s">
        <v>13</v>
      </c>
      <c r="R121" s="76" t="s">
        <v>14</v>
      </c>
      <c r="S121" s="77" t="s">
        <v>15</v>
      </c>
      <c r="T121" s="75" t="s">
        <v>12</v>
      </c>
      <c r="U121" s="76" t="s">
        <v>13</v>
      </c>
      <c r="V121" s="76" t="s">
        <v>14</v>
      </c>
      <c r="W121" s="77" t="s">
        <v>15</v>
      </c>
      <c r="X121" s="75" t="s">
        <v>12</v>
      </c>
      <c r="Y121" s="76" t="s">
        <v>13</v>
      </c>
      <c r="Z121" s="76" t="s">
        <v>14</v>
      </c>
      <c r="AA121" s="77" t="s">
        <v>15</v>
      </c>
      <c r="AB121" s="75" t="s">
        <v>12</v>
      </c>
      <c r="AC121" s="76" t="s">
        <v>13</v>
      </c>
      <c r="AD121" s="76" t="s">
        <v>14</v>
      </c>
      <c r="AE121" s="76" t="s">
        <v>15</v>
      </c>
      <c r="AF121" s="75" t="s">
        <v>12</v>
      </c>
      <c r="AG121" s="76" t="s">
        <v>13</v>
      </c>
      <c r="AH121" s="76" t="s">
        <v>14</v>
      </c>
      <c r="AI121" s="77" t="s">
        <v>15</v>
      </c>
      <c r="AJ121" s="75" t="s">
        <v>12</v>
      </c>
      <c r="AK121" s="76" t="s">
        <v>13</v>
      </c>
      <c r="AL121" s="76" t="s">
        <v>14</v>
      </c>
      <c r="AM121" s="77" t="s">
        <v>15</v>
      </c>
      <c r="AN121" s="75" t="s">
        <v>12</v>
      </c>
      <c r="AO121" s="76" t="s">
        <v>13</v>
      </c>
      <c r="AP121" s="76" t="s">
        <v>14</v>
      </c>
      <c r="AQ121" s="77" t="s">
        <v>15</v>
      </c>
      <c r="AR121" s="75" t="s">
        <v>12</v>
      </c>
      <c r="AS121" s="76" t="s">
        <v>13</v>
      </c>
      <c r="AT121" s="76" t="s">
        <v>14</v>
      </c>
      <c r="AU121" s="77" t="s">
        <v>15</v>
      </c>
      <c r="AV121" s="75" t="s">
        <v>12</v>
      </c>
      <c r="AW121" s="76" t="s">
        <v>13</v>
      </c>
      <c r="AX121" s="76" t="s">
        <v>14</v>
      </c>
      <c r="AY121" s="77" t="s">
        <v>15</v>
      </c>
      <c r="BB121" s="150" t="s">
        <v>102</v>
      </c>
      <c r="BC121" s="150" t="s">
        <v>99</v>
      </c>
      <c r="BD121" s="150" t="s">
        <v>100</v>
      </c>
      <c r="BE121" s="150" t="s">
        <v>101</v>
      </c>
      <c r="BF121" s="26" t="s">
        <v>103</v>
      </c>
      <c r="BG121" s="26" t="s">
        <v>104</v>
      </c>
      <c r="BH121" s="26" t="s">
        <v>105</v>
      </c>
      <c r="BI121" s="119" t="s">
        <v>106</v>
      </c>
      <c r="BJ121" s="119" t="s">
        <v>107</v>
      </c>
      <c r="BK121" s="119" t="s">
        <v>108</v>
      </c>
      <c r="BL121" s="119" t="s">
        <v>109</v>
      </c>
      <c r="BM121" s="119" t="s">
        <v>110</v>
      </c>
      <c r="BO121" s="97" t="s">
        <v>74</v>
      </c>
      <c r="BP121" s="97" t="e">
        <f t="shared" si="7"/>
        <v>#N/A</v>
      </c>
      <c r="BQ121" s="3" t="e">
        <f t="shared" si="8"/>
        <v>#N/A</v>
      </c>
      <c r="BR121" s="97" t="str">
        <f t="shared" si="9"/>
        <v/>
      </c>
      <c r="BS121" s="4" t="str">
        <f t="shared" si="10"/>
        <v/>
      </c>
    </row>
    <row r="122" spans="1:71" x14ac:dyDescent="0.25">
      <c r="A122" s="115" t="s">
        <v>24</v>
      </c>
      <c r="B122" s="105" t="s">
        <v>81</v>
      </c>
      <c r="C122" s="118">
        <f>COUNTIF($D$122:$AY$159,A122)</f>
        <v>12</v>
      </c>
      <c r="D122" s="8" t="s">
        <v>19</v>
      </c>
      <c r="E122" s="39" t="s">
        <v>35</v>
      </c>
      <c r="F122" s="39" t="s">
        <v>35</v>
      </c>
      <c r="G122" s="40"/>
      <c r="H122" s="48" t="s">
        <v>21</v>
      </c>
      <c r="I122" s="64"/>
      <c r="J122" s="64" t="s">
        <v>35</v>
      </c>
      <c r="K122" s="65"/>
      <c r="L122" s="8" t="s">
        <v>21</v>
      </c>
      <c r="M122" s="39"/>
      <c r="N122" s="39" t="s">
        <v>35</v>
      </c>
      <c r="O122" s="40"/>
      <c r="P122" s="9" t="s">
        <v>24</v>
      </c>
      <c r="Q122" s="39" t="s">
        <v>35</v>
      </c>
      <c r="R122" s="39" t="s">
        <v>35</v>
      </c>
      <c r="S122" s="40"/>
      <c r="T122" s="39" t="s">
        <v>19</v>
      </c>
      <c r="U122" s="34" t="s">
        <v>35</v>
      </c>
      <c r="V122" s="34" t="s">
        <v>35</v>
      </c>
      <c r="W122" s="36"/>
      <c r="X122" s="35" t="s">
        <v>19</v>
      </c>
      <c r="Y122" s="34" t="s">
        <v>35</v>
      </c>
      <c r="Z122" s="34" t="s">
        <v>35</v>
      </c>
      <c r="AA122" s="36"/>
      <c r="AB122" s="15" t="s">
        <v>24</v>
      </c>
      <c r="AC122" s="34" t="s">
        <v>35</v>
      </c>
      <c r="AD122" s="34" t="s">
        <v>35</v>
      </c>
      <c r="AE122" s="34"/>
      <c r="AF122" s="35" t="s">
        <v>19</v>
      </c>
      <c r="AG122" s="34" t="s">
        <v>35</v>
      </c>
      <c r="AH122" s="34" t="s">
        <v>35</v>
      </c>
      <c r="AI122" s="36"/>
      <c r="AJ122" s="35" t="s">
        <v>19</v>
      </c>
      <c r="AK122" s="34" t="s">
        <v>35</v>
      </c>
      <c r="AL122" s="34" t="s">
        <v>35</v>
      </c>
      <c r="AM122" s="36"/>
      <c r="AN122" s="35" t="s">
        <v>19</v>
      </c>
      <c r="AO122" s="34" t="s">
        <v>35</v>
      </c>
      <c r="AP122" s="34" t="s">
        <v>35</v>
      </c>
      <c r="AQ122" s="36"/>
      <c r="AR122" s="35" t="s">
        <v>19</v>
      </c>
      <c r="AS122" s="34" t="s">
        <v>35</v>
      </c>
      <c r="AT122" s="34" t="s">
        <v>35</v>
      </c>
      <c r="AU122" s="36"/>
      <c r="AV122" s="15" t="s">
        <v>24</v>
      </c>
      <c r="AW122" s="34" t="s">
        <v>35</v>
      </c>
      <c r="AX122" s="34" t="s">
        <v>35</v>
      </c>
      <c r="AY122" s="36"/>
      <c r="BB122" s="154" t="str">
        <f>D122</f>
        <v>532E</v>
      </c>
      <c r="BC122" s="155" t="str">
        <f>H122</f>
        <v>2BBA</v>
      </c>
      <c r="BD122" s="155" t="str">
        <f>L122</f>
        <v>2BBA</v>
      </c>
      <c r="BE122" s="49" t="str">
        <f>P122</f>
        <v>14D6</v>
      </c>
      <c r="BF122" s="49" t="str">
        <f>T122</f>
        <v>532E</v>
      </c>
      <c r="BG122" s="49" t="str">
        <f>X122</f>
        <v>532E</v>
      </c>
      <c r="BH122" s="49" t="str">
        <f>AB122</f>
        <v>14D6</v>
      </c>
      <c r="BI122" s="49" t="str">
        <f>AF122</f>
        <v>532E</v>
      </c>
      <c r="BJ122" s="49" t="str">
        <f>AJ122</f>
        <v>532E</v>
      </c>
      <c r="BK122" s="49" t="str">
        <f>AN122</f>
        <v>532E</v>
      </c>
      <c r="BL122" s="49" t="str">
        <f>AR122</f>
        <v>532E</v>
      </c>
      <c r="BM122" s="50" t="str">
        <f>AV122</f>
        <v>14D6</v>
      </c>
      <c r="BO122" s="97" t="s">
        <v>63</v>
      </c>
      <c r="BP122" s="97" t="e">
        <f t="shared" si="7"/>
        <v>#N/A</v>
      </c>
      <c r="BQ122" s="3" t="e">
        <f t="shared" si="8"/>
        <v>#N/A</v>
      </c>
      <c r="BR122" s="97" t="str">
        <f t="shared" si="9"/>
        <v/>
      </c>
      <c r="BS122" s="4" t="e">
        <f t="shared" si="10"/>
        <v>#N/A</v>
      </c>
    </row>
    <row r="123" spans="1:71" x14ac:dyDescent="0.25">
      <c r="A123" s="11" t="s">
        <v>26</v>
      </c>
      <c r="B123" s="21" t="s">
        <v>82</v>
      </c>
      <c r="C123" s="118">
        <f t="shared" ref="C123:C135" si="48">COUNTIF($D$122:$AY$159,A123)</f>
        <v>12</v>
      </c>
      <c r="D123" s="9" t="s">
        <v>24</v>
      </c>
      <c r="E123" s="39" t="s">
        <v>35</v>
      </c>
      <c r="F123" s="39" t="s">
        <v>35</v>
      </c>
      <c r="G123" s="40"/>
      <c r="H123" s="9" t="s">
        <v>24</v>
      </c>
      <c r="I123" s="39" t="s">
        <v>35</v>
      </c>
      <c r="J123" s="39" t="s">
        <v>35</v>
      </c>
      <c r="K123" s="40"/>
      <c r="L123" s="9" t="s">
        <v>24</v>
      </c>
      <c r="M123" s="39" t="s">
        <v>35</v>
      </c>
      <c r="N123" s="39" t="s">
        <v>35</v>
      </c>
      <c r="O123" s="40"/>
      <c r="P123" s="11" t="s">
        <v>26</v>
      </c>
      <c r="Q123" s="39" t="s">
        <v>35</v>
      </c>
      <c r="R123" s="39" t="s">
        <v>35</v>
      </c>
      <c r="S123" s="40"/>
      <c r="T123" s="15" t="s">
        <v>24</v>
      </c>
      <c r="U123" s="34" t="s">
        <v>35</v>
      </c>
      <c r="V123" s="34" t="s">
        <v>35</v>
      </c>
      <c r="W123" s="36"/>
      <c r="X123" s="15" t="s">
        <v>24</v>
      </c>
      <c r="Y123" s="34" t="s">
        <v>35</v>
      </c>
      <c r="Z123" s="34" t="s">
        <v>35</v>
      </c>
      <c r="AA123" s="36"/>
      <c r="AB123" s="31" t="s">
        <v>26</v>
      </c>
      <c r="AC123" s="34" t="s">
        <v>35</v>
      </c>
      <c r="AD123" s="34" t="s">
        <v>35</v>
      </c>
      <c r="AE123" s="34"/>
      <c r="AF123" s="15" t="s">
        <v>24</v>
      </c>
      <c r="AG123" s="34" t="s">
        <v>35</v>
      </c>
      <c r="AH123" s="34" t="s">
        <v>35</v>
      </c>
      <c r="AI123" s="36"/>
      <c r="AJ123" s="15" t="s">
        <v>24</v>
      </c>
      <c r="AK123" s="34" t="s">
        <v>35</v>
      </c>
      <c r="AL123" s="34" t="s">
        <v>35</v>
      </c>
      <c r="AM123" s="36"/>
      <c r="AN123" s="15" t="s">
        <v>24</v>
      </c>
      <c r="AO123" s="34" t="s">
        <v>35</v>
      </c>
      <c r="AP123" s="34" t="s">
        <v>35</v>
      </c>
      <c r="AQ123" s="36"/>
      <c r="AR123" s="15" t="s">
        <v>24</v>
      </c>
      <c r="AS123" s="34" t="s">
        <v>35</v>
      </c>
      <c r="AT123" s="34" t="s">
        <v>35</v>
      </c>
      <c r="AU123" s="36"/>
      <c r="AV123" s="31" t="s">
        <v>26</v>
      </c>
      <c r="AW123" s="34" t="s">
        <v>35</v>
      </c>
      <c r="AX123" s="34" t="s">
        <v>35</v>
      </c>
      <c r="AY123" s="36"/>
      <c r="BB123" s="12" t="str">
        <f>D123</f>
        <v>14D6</v>
      </c>
      <c r="BC123" s="13" t="str">
        <f>H123</f>
        <v>14D6</v>
      </c>
      <c r="BD123" s="13" t="str">
        <f>L123</f>
        <v>14D6</v>
      </c>
      <c r="BE123" s="3" t="str">
        <f>P123</f>
        <v>2FF6</v>
      </c>
      <c r="BF123" s="3" t="str">
        <f>T123</f>
        <v>14D6</v>
      </c>
      <c r="BG123" s="3" t="str">
        <f>X123</f>
        <v>14D6</v>
      </c>
      <c r="BH123" s="3" t="str">
        <f>AB123</f>
        <v>2FF6</v>
      </c>
      <c r="BI123" s="3" t="str">
        <f>AF123</f>
        <v>14D6</v>
      </c>
      <c r="BJ123" s="3" t="str">
        <f>AJ123</f>
        <v>14D6</v>
      </c>
      <c r="BK123" s="3" t="str">
        <f>AN123</f>
        <v>14D6</v>
      </c>
      <c r="BL123" s="3" t="str">
        <f>AR123</f>
        <v>14D6</v>
      </c>
      <c r="BM123" s="4" t="str">
        <f>AV123</f>
        <v>2FF6</v>
      </c>
      <c r="BO123" s="97" t="s">
        <v>69</v>
      </c>
      <c r="BP123" s="97" t="e">
        <f t="shared" ref="BP123:BP127" si="49">VLOOKUP(BO123,$BO$5:$BS$34,5,FALSE)</f>
        <v>#N/A</v>
      </c>
      <c r="BQ123" s="3" t="e">
        <f t="shared" ref="BQ123:BQ127" si="50">VLOOKUP(BO123,$BV$5:$BZ$46,5,FALSE)</f>
        <v>#N/A</v>
      </c>
      <c r="BR123" s="97" t="str">
        <f t="shared" ref="BR123:BR127" si="51">VLOOKUP(BO123,$CC$5:$CG$51,5,FALSE)</f>
        <v/>
      </c>
      <c r="BS123" s="4" t="str">
        <f t="shared" ref="BS123:BS127" si="52">VLOOKUP(BO123,$CJ$5:$CN$34,5,FALSE)</f>
        <v/>
      </c>
    </row>
    <row r="124" spans="1:71" x14ac:dyDescent="0.25">
      <c r="A124" s="41" t="s">
        <v>29</v>
      </c>
      <c r="B124" s="22" t="s">
        <v>83</v>
      </c>
      <c r="C124" s="118">
        <f t="shared" si="48"/>
        <v>12</v>
      </c>
      <c r="D124" s="85" t="s">
        <v>26</v>
      </c>
      <c r="E124" s="39" t="s">
        <v>35</v>
      </c>
      <c r="F124" s="39" t="s">
        <v>35</v>
      </c>
      <c r="G124" s="40"/>
      <c r="H124" s="11" t="s">
        <v>26</v>
      </c>
      <c r="I124" s="39" t="s">
        <v>35</v>
      </c>
      <c r="J124" s="39" t="s">
        <v>35</v>
      </c>
      <c r="K124" s="40"/>
      <c r="L124" s="11" t="s">
        <v>26</v>
      </c>
      <c r="M124" s="39" t="s">
        <v>35</v>
      </c>
      <c r="N124" s="39" t="s">
        <v>35</v>
      </c>
      <c r="O124" s="40"/>
      <c r="P124" s="8">
        <v>2492</v>
      </c>
      <c r="Q124" s="39" t="s">
        <v>35</v>
      </c>
      <c r="R124" s="39" t="s">
        <v>35</v>
      </c>
      <c r="S124" s="40"/>
      <c r="T124" s="31" t="s">
        <v>26</v>
      </c>
      <c r="U124" s="34" t="s">
        <v>35</v>
      </c>
      <c r="V124" s="34" t="s">
        <v>35</v>
      </c>
      <c r="W124" s="36"/>
      <c r="X124" s="31" t="s">
        <v>26</v>
      </c>
      <c r="Y124" s="34" t="s">
        <v>35</v>
      </c>
      <c r="Z124" s="34" t="s">
        <v>35</v>
      </c>
      <c r="AA124" s="36"/>
      <c r="AB124" s="35">
        <v>2492</v>
      </c>
      <c r="AC124" s="34" t="s">
        <v>35</v>
      </c>
      <c r="AD124" s="34" t="s">
        <v>35</v>
      </c>
      <c r="AE124" s="34"/>
      <c r="AF124" s="31" t="s">
        <v>26</v>
      </c>
      <c r="AG124" s="34" t="s">
        <v>35</v>
      </c>
      <c r="AH124" s="34" t="s">
        <v>35</v>
      </c>
      <c r="AI124" s="36"/>
      <c r="AJ124" s="31" t="s">
        <v>26</v>
      </c>
      <c r="AK124" s="34" t="s">
        <v>35</v>
      </c>
      <c r="AL124" s="34" t="s">
        <v>35</v>
      </c>
      <c r="AM124" s="36"/>
      <c r="AN124" s="95" t="s">
        <v>26</v>
      </c>
      <c r="AO124" s="34" t="s">
        <v>35</v>
      </c>
      <c r="AP124" s="34" t="s">
        <v>35</v>
      </c>
      <c r="AQ124" s="36"/>
      <c r="AR124" s="31" t="s">
        <v>26</v>
      </c>
      <c r="AS124" s="34" t="s">
        <v>35</v>
      </c>
      <c r="AT124" s="34" t="s">
        <v>35</v>
      </c>
      <c r="AU124" s="36"/>
      <c r="AV124" s="79" t="s">
        <v>32</v>
      </c>
      <c r="AW124" s="34" t="s">
        <v>35</v>
      </c>
      <c r="AX124" s="34" t="s">
        <v>35</v>
      </c>
      <c r="AY124" s="36" t="s">
        <v>35</v>
      </c>
      <c r="BB124" s="12" t="str">
        <f>D124</f>
        <v>2FF6</v>
      </c>
      <c r="BC124" s="13" t="str">
        <f>H124</f>
        <v>2FF6</v>
      </c>
      <c r="BD124" s="13" t="str">
        <f>L124</f>
        <v>2FF6</v>
      </c>
      <c r="BE124" s="3">
        <f>P124</f>
        <v>2492</v>
      </c>
      <c r="BF124" s="3" t="str">
        <f>T124</f>
        <v>2FF6</v>
      </c>
      <c r="BG124" s="3" t="str">
        <f>X124</f>
        <v>2FF6</v>
      </c>
      <c r="BH124" s="3">
        <f>AB124</f>
        <v>2492</v>
      </c>
      <c r="BI124" s="3" t="str">
        <f>AF124</f>
        <v>2FF6</v>
      </c>
      <c r="BJ124" s="3" t="str">
        <f>AJ124</f>
        <v>2FF6</v>
      </c>
      <c r="BK124" s="3" t="str">
        <f>AN124</f>
        <v>2FF6</v>
      </c>
      <c r="BL124" s="3" t="str">
        <f>AR124</f>
        <v>2FF6</v>
      </c>
      <c r="BM124" s="4" t="str">
        <f>AV124</f>
        <v>06BE</v>
      </c>
      <c r="BO124" s="189" t="s">
        <v>76</v>
      </c>
      <c r="BP124" s="97" t="e">
        <f t="shared" si="49"/>
        <v>#N/A</v>
      </c>
      <c r="BQ124" s="3" t="e">
        <f t="shared" si="50"/>
        <v>#N/A</v>
      </c>
      <c r="BR124" s="97" t="str">
        <f t="shared" si="51"/>
        <v/>
      </c>
      <c r="BS124" s="4" t="str">
        <f t="shared" si="52"/>
        <v/>
      </c>
    </row>
    <row r="125" spans="1:71" x14ac:dyDescent="0.25">
      <c r="A125" s="44">
        <v>1712</v>
      </c>
      <c r="B125" s="23" t="s">
        <v>84</v>
      </c>
      <c r="C125" s="110">
        <f t="shared" si="48"/>
        <v>12</v>
      </c>
      <c r="D125" s="8">
        <v>2492</v>
      </c>
      <c r="E125" s="39" t="s">
        <v>35</v>
      </c>
      <c r="F125" s="39" t="s">
        <v>35</v>
      </c>
      <c r="G125" s="40"/>
      <c r="H125" s="8">
        <v>2492</v>
      </c>
      <c r="I125" s="39" t="s">
        <v>35</v>
      </c>
      <c r="J125" s="39" t="s">
        <v>35</v>
      </c>
      <c r="K125" s="40"/>
      <c r="L125" s="8">
        <v>2492</v>
      </c>
      <c r="M125" s="39" t="s">
        <v>35</v>
      </c>
      <c r="N125" s="39" t="s">
        <v>35</v>
      </c>
      <c r="O125" s="40"/>
      <c r="P125" s="41" t="s">
        <v>29</v>
      </c>
      <c r="Q125" s="39" t="s">
        <v>35</v>
      </c>
      <c r="R125" s="39" t="s">
        <v>35</v>
      </c>
      <c r="S125" s="40" t="s">
        <v>35</v>
      </c>
      <c r="T125" s="35">
        <v>2492</v>
      </c>
      <c r="U125" s="34" t="s">
        <v>35</v>
      </c>
      <c r="V125" s="34" t="s">
        <v>35</v>
      </c>
      <c r="W125" s="36"/>
      <c r="X125" s="35">
        <v>2492</v>
      </c>
      <c r="Y125" s="34" t="s">
        <v>35</v>
      </c>
      <c r="Z125" s="34" t="s">
        <v>35</v>
      </c>
      <c r="AA125" s="36"/>
      <c r="AB125" s="32" t="s">
        <v>29</v>
      </c>
      <c r="AC125" s="34" t="s">
        <v>35</v>
      </c>
      <c r="AD125" s="34" t="s">
        <v>35</v>
      </c>
      <c r="AE125" s="34" t="s">
        <v>35</v>
      </c>
      <c r="AF125" s="35">
        <v>2492</v>
      </c>
      <c r="AG125" s="34" t="s">
        <v>35</v>
      </c>
      <c r="AH125" s="34" t="s">
        <v>35</v>
      </c>
      <c r="AI125" s="36"/>
      <c r="AJ125" s="35">
        <v>2492</v>
      </c>
      <c r="AK125" s="34" t="s">
        <v>35</v>
      </c>
      <c r="AL125" s="34" t="s">
        <v>35</v>
      </c>
      <c r="AM125" s="36"/>
      <c r="AN125" s="79" t="s">
        <v>32</v>
      </c>
      <c r="AO125" s="34" t="s">
        <v>35</v>
      </c>
      <c r="AP125" s="34" t="s">
        <v>35</v>
      </c>
      <c r="AQ125" s="36" t="s">
        <v>35</v>
      </c>
      <c r="AR125" s="79" t="s">
        <v>32</v>
      </c>
      <c r="AS125" s="34" t="s">
        <v>35</v>
      </c>
      <c r="AT125" s="34" t="s">
        <v>35</v>
      </c>
      <c r="AU125" s="36" t="s">
        <v>35</v>
      </c>
      <c r="AV125" s="32" t="s">
        <v>29</v>
      </c>
      <c r="AW125" s="34" t="s">
        <v>35</v>
      </c>
      <c r="AX125" s="34" t="s">
        <v>35</v>
      </c>
      <c r="AY125" s="36" t="s">
        <v>35</v>
      </c>
      <c r="BB125" s="12">
        <f>D125</f>
        <v>2492</v>
      </c>
      <c r="BC125" s="13">
        <f>H125</f>
        <v>2492</v>
      </c>
      <c r="BD125" s="13">
        <f>L125</f>
        <v>2492</v>
      </c>
      <c r="BE125" s="3" t="str">
        <f>P125</f>
        <v>F1AE</v>
      </c>
      <c r="BF125" s="3">
        <f>T125</f>
        <v>2492</v>
      </c>
      <c r="BG125" s="3">
        <f>X125</f>
        <v>2492</v>
      </c>
      <c r="BH125" s="3" t="str">
        <f>AB125</f>
        <v>F1AE</v>
      </c>
      <c r="BI125" s="3">
        <f>AF125</f>
        <v>2492</v>
      </c>
      <c r="BJ125" s="3">
        <f>AJ125</f>
        <v>2492</v>
      </c>
      <c r="BK125" s="3" t="str">
        <f>AN125</f>
        <v>06BE</v>
      </c>
      <c r="BL125" s="3" t="str">
        <f>AR125</f>
        <v>06BE</v>
      </c>
      <c r="BM125" s="4" t="str">
        <f>AV125</f>
        <v>F1AE</v>
      </c>
      <c r="BO125" s="188" t="s">
        <v>75</v>
      </c>
      <c r="BP125" s="97" t="e">
        <f t="shared" si="49"/>
        <v>#N/A</v>
      </c>
      <c r="BQ125" s="3" t="e">
        <f t="shared" si="50"/>
        <v>#N/A</v>
      </c>
      <c r="BR125" s="97" t="str">
        <f t="shared" si="51"/>
        <v/>
      </c>
      <c r="BS125" s="4" t="str">
        <f t="shared" si="52"/>
        <v/>
      </c>
    </row>
    <row r="126" spans="1:71" x14ac:dyDescent="0.25">
      <c r="A126" s="42" t="s">
        <v>30</v>
      </c>
      <c r="B126" s="24" t="s">
        <v>85</v>
      </c>
      <c r="C126" s="110">
        <f t="shared" si="48"/>
        <v>12</v>
      </c>
      <c r="D126" s="41" t="s">
        <v>29</v>
      </c>
      <c r="E126" s="39" t="s">
        <v>35</v>
      </c>
      <c r="F126" s="39" t="s">
        <v>35</v>
      </c>
      <c r="G126" s="40" t="s">
        <v>35</v>
      </c>
      <c r="H126" s="41" t="s">
        <v>29</v>
      </c>
      <c r="I126" s="39" t="s">
        <v>35</v>
      </c>
      <c r="J126" s="39" t="s">
        <v>35</v>
      </c>
      <c r="K126" s="40" t="s">
        <v>35</v>
      </c>
      <c r="L126" s="41" t="s">
        <v>29</v>
      </c>
      <c r="M126" s="39" t="s">
        <v>35</v>
      </c>
      <c r="N126" s="39" t="s">
        <v>35</v>
      </c>
      <c r="O126" s="40" t="s">
        <v>35</v>
      </c>
      <c r="P126" s="8" t="s">
        <v>40</v>
      </c>
      <c r="Q126" s="39" t="s">
        <v>35</v>
      </c>
      <c r="R126" s="39" t="s">
        <v>35</v>
      </c>
      <c r="S126" s="40"/>
      <c r="T126" s="32" t="s">
        <v>29</v>
      </c>
      <c r="U126" s="34" t="s">
        <v>35</v>
      </c>
      <c r="V126" s="34" t="s">
        <v>35</v>
      </c>
      <c r="W126" s="36" t="s">
        <v>35</v>
      </c>
      <c r="X126" s="32" t="s">
        <v>29</v>
      </c>
      <c r="Y126" s="34" t="s">
        <v>35</v>
      </c>
      <c r="Z126" s="34" t="s">
        <v>35</v>
      </c>
      <c r="AA126" s="36" t="s">
        <v>35</v>
      </c>
      <c r="AB126" s="35" t="s">
        <v>40</v>
      </c>
      <c r="AC126" s="34" t="s">
        <v>35</v>
      </c>
      <c r="AD126" s="34" t="s">
        <v>35</v>
      </c>
      <c r="AE126" s="34"/>
      <c r="AF126" s="32" t="s">
        <v>29</v>
      </c>
      <c r="AG126" s="34" t="s">
        <v>35</v>
      </c>
      <c r="AH126" s="34" t="s">
        <v>35</v>
      </c>
      <c r="AI126" s="36" t="s">
        <v>35</v>
      </c>
      <c r="AJ126" s="32" t="s">
        <v>29</v>
      </c>
      <c r="AK126" s="34" t="s">
        <v>35</v>
      </c>
      <c r="AL126" s="34" t="s">
        <v>35</v>
      </c>
      <c r="AM126" s="36" t="s">
        <v>35</v>
      </c>
      <c r="AN126" s="32" t="s">
        <v>29</v>
      </c>
      <c r="AO126" s="34" t="s">
        <v>35</v>
      </c>
      <c r="AP126" s="34" t="s">
        <v>35</v>
      </c>
      <c r="AQ126" s="36" t="s">
        <v>35</v>
      </c>
      <c r="AR126" s="32" t="s">
        <v>29</v>
      </c>
      <c r="AS126" s="34" t="s">
        <v>35</v>
      </c>
      <c r="AT126" s="34" t="s">
        <v>35</v>
      </c>
      <c r="AU126" s="36" t="s">
        <v>35</v>
      </c>
      <c r="AV126" s="38">
        <v>1712</v>
      </c>
      <c r="AW126" s="34" t="s">
        <v>35</v>
      </c>
      <c r="AX126" s="34" t="s">
        <v>35</v>
      </c>
      <c r="AY126" s="36"/>
      <c r="BB126" s="12" t="str">
        <f>D126</f>
        <v>F1AE</v>
      </c>
      <c r="BC126" s="13" t="str">
        <f>H126</f>
        <v>F1AE</v>
      </c>
      <c r="BD126" s="13" t="str">
        <f>L126</f>
        <v>F1AE</v>
      </c>
      <c r="BE126" s="3" t="str">
        <f>P126</f>
        <v>2E9A</v>
      </c>
      <c r="BF126" s="3" t="str">
        <f>T126</f>
        <v>F1AE</v>
      </c>
      <c r="BG126" s="3" t="str">
        <f>X126</f>
        <v>F1AE</v>
      </c>
      <c r="BH126" s="3" t="str">
        <f>AB126</f>
        <v>2E9A</v>
      </c>
      <c r="BI126" s="3" t="str">
        <f>AF126</f>
        <v>F1AE</v>
      </c>
      <c r="BJ126" s="3" t="str">
        <f>AJ126</f>
        <v>F1AE</v>
      </c>
      <c r="BK126" s="3" t="str">
        <f>AN126</f>
        <v>F1AE</v>
      </c>
      <c r="BL126" s="3" t="str">
        <f>AR126</f>
        <v>F1AE</v>
      </c>
      <c r="BM126" s="4">
        <f>AV126</f>
        <v>1712</v>
      </c>
      <c r="BO126" s="97" t="s">
        <v>71</v>
      </c>
      <c r="BP126" s="97" t="e">
        <f t="shared" si="49"/>
        <v>#N/A</v>
      </c>
      <c r="BQ126" s="3" t="e">
        <f t="shared" si="50"/>
        <v>#N/A</v>
      </c>
      <c r="BR126" s="97" t="str">
        <f t="shared" si="51"/>
        <v/>
      </c>
      <c r="BS126" s="4" t="str">
        <f t="shared" si="52"/>
        <v/>
      </c>
    </row>
    <row r="127" spans="1:71" x14ac:dyDescent="0.25">
      <c r="A127" s="45" t="s">
        <v>31</v>
      </c>
      <c r="B127" s="25" t="s">
        <v>86</v>
      </c>
      <c r="C127" s="110">
        <f t="shared" si="48"/>
        <v>12</v>
      </c>
      <c r="D127" s="8" t="s">
        <v>40</v>
      </c>
      <c r="E127" s="39" t="s">
        <v>35</v>
      </c>
      <c r="F127" s="39" t="s">
        <v>35</v>
      </c>
      <c r="G127" s="40"/>
      <c r="H127" s="8" t="s">
        <v>40</v>
      </c>
      <c r="I127" s="39" t="s">
        <v>35</v>
      </c>
      <c r="J127" s="39" t="s">
        <v>35</v>
      </c>
      <c r="K127" s="40"/>
      <c r="L127" s="8" t="s">
        <v>40</v>
      </c>
      <c r="M127" s="39" t="s">
        <v>35</v>
      </c>
      <c r="N127" s="39" t="s">
        <v>35</v>
      </c>
      <c r="O127" s="40"/>
      <c r="P127" s="8" t="s">
        <v>46</v>
      </c>
      <c r="Q127" s="39" t="s">
        <v>35</v>
      </c>
      <c r="R127" s="39" t="s">
        <v>35</v>
      </c>
      <c r="S127" s="40"/>
      <c r="T127" s="35" t="s">
        <v>40</v>
      </c>
      <c r="U127" s="34" t="s">
        <v>35</v>
      </c>
      <c r="V127" s="34" t="s">
        <v>35</v>
      </c>
      <c r="W127" s="36"/>
      <c r="X127" s="35" t="s">
        <v>40</v>
      </c>
      <c r="Y127" s="34" t="s">
        <v>35</v>
      </c>
      <c r="Z127" s="34" t="s">
        <v>35</v>
      </c>
      <c r="AA127" s="36"/>
      <c r="AB127" s="35" t="s">
        <v>46</v>
      </c>
      <c r="AC127" s="34" t="s">
        <v>35</v>
      </c>
      <c r="AD127" s="34" t="s">
        <v>35</v>
      </c>
      <c r="AE127" s="34"/>
      <c r="AF127" s="35" t="s">
        <v>40</v>
      </c>
      <c r="AG127" s="34" t="s">
        <v>35</v>
      </c>
      <c r="AH127" s="34" t="s">
        <v>35</v>
      </c>
      <c r="AI127" s="36"/>
      <c r="AJ127" s="35" t="s">
        <v>40</v>
      </c>
      <c r="AK127" s="34" t="s">
        <v>35</v>
      </c>
      <c r="AL127" s="34" t="s">
        <v>35</v>
      </c>
      <c r="AM127" s="36"/>
      <c r="AN127" s="35" t="s">
        <v>46</v>
      </c>
      <c r="AO127" s="34" t="s">
        <v>35</v>
      </c>
      <c r="AP127" s="34" t="s">
        <v>35</v>
      </c>
      <c r="AQ127" s="36"/>
      <c r="AR127" s="38">
        <v>1712</v>
      </c>
      <c r="AS127" s="34" t="s">
        <v>35</v>
      </c>
      <c r="AT127" s="34" t="s">
        <v>35</v>
      </c>
      <c r="AU127" s="36"/>
      <c r="AV127" s="35">
        <v>3782</v>
      </c>
      <c r="AW127" s="34" t="s">
        <v>35</v>
      </c>
      <c r="AX127" s="34" t="s">
        <v>35</v>
      </c>
      <c r="AY127" s="36"/>
      <c r="BB127" s="12" t="str">
        <f>D127</f>
        <v>2E9A</v>
      </c>
      <c r="BC127" s="13" t="str">
        <f>H127</f>
        <v>2E9A</v>
      </c>
      <c r="BD127" s="13" t="str">
        <f>L127</f>
        <v>2E9A</v>
      </c>
      <c r="BE127" s="3" t="str">
        <f>P127</f>
        <v>F212</v>
      </c>
      <c r="BF127" s="3" t="str">
        <f>T127</f>
        <v>2E9A</v>
      </c>
      <c r="BG127" s="3" t="str">
        <f>X127</f>
        <v>2E9A</v>
      </c>
      <c r="BH127" s="3" t="str">
        <f>AB127</f>
        <v>F212</v>
      </c>
      <c r="BI127" s="3" t="str">
        <f>AF127</f>
        <v>2E9A</v>
      </c>
      <c r="BJ127" s="3" t="str">
        <f>AJ127</f>
        <v>2E9A</v>
      </c>
      <c r="BK127" s="3" t="str">
        <f>AN127</f>
        <v>F212</v>
      </c>
      <c r="BL127" s="3">
        <f>AR127</f>
        <v>1712</v>
      </c>
      <c r="BM127" s="4">
        <f>AV127</f>
        <v>3782</v>
      </c>
      <c r="BO127" s="160" t="s">
        <v>78</v>
      </c>
      <c r="BP127" s="98" t="e">
        <f t="shared" si="49"/>
        <v>#N/A</v>
      </c>
      <c r="BQ127" s="6" t="e">
        <f t="shared" si="50"/>
        <v>#N/A</v>
      </c>
      <c r="BR127" s="98" t="e">
        <f t="shared" si="51"/>
        <v>#N/A</v>
      </c>
      <c r="BS127" s="7" t="e">
        <f t="shared" si="52"/>
        <v>#N/A</v>
      </c>
    </row>
    <row r="128" spans="1:71" x14ac:dyDescent="0.25">
      <c r="A128" s="116" t="s">
        <v>32</v>
      </c>
      <c r="B128" s="99" t="s">
        <v>87</v>
      </c>
      <c r="C128" s="118">
        <f t="shared" si="48"/>
        <v>3</v>
      </c>
      <c r="D128" s="8" t="s">
        <v>43</v>
      </c>
      <c r="E128" s="39" t="s">
        <v>35</v>
      </c>
      <c r="F128" s="39" t="s">
        <v>35</v>
      </c>
      <c r="G128" s="40"/>
      <c r="H128" s="8" t="s">
        <v>46</v>
      </c>
      <c r="I128" s="39" t="s">
        <v>35</v>
      </c>
      <c r="J128" s="39" t="s">
        <v>35</v>
      </c>
      <c r="K128" s="40"/>
      <c r="L128" s="8" t="s">
        <v>46</v>
      </c>
      <c r="M128" s="39" t="s">
        <v>35</v>
      </c>
      <c r="N128" s="39" t="s">
        <v>35</v>
      </c>
      <c r="O128" s="40"/>
      <c r="P128" s="44">
        <v>1712</v>
      </c>
      <c r="Q128" s="39" t="s">
        <v>35</v>
      </c>
      <c r="R128" s="39" t="s">
        <v>35</v>
      </c>
      <c r="S128" s="40"/>
      <c r="T128" s="35" t="s">
        <v>46</v>
      </c>
      <c r="U128" s="34" t="s">
        <v>35</v>
      </c>
      <c r="V128" s="34" t="s">
        <v>35</v>
      </c>
      <c r="W128" s="36"/>
      <c r="X128" s="35" t="s">
        <v>46</v>
      </c>
      <c r="Y128" s="34" t="s">
        <v>35</v>
      </c>
      <c r="Z128" s="34" t="s">
        <v>35</v>
      </c>
      <c r="AA128" s="36"/>
      <c r="AB128" s="38">
        <v>1712</v>
      </c>
      <c r="AC128" s="34" t="s">
        <v>35</v>
      </c>
      <c r="AD128" s="34" t="s">
        <v>35</v>
      </c>
      <c r="AE128" s="34"/>
      <c r="AF128" s="35" t="s">
        <v>46</v>
      </c>
      <c r="AG128" s="34" t="s">
        <v>35</v>
      </c>
      <c r="AH128" s="34" t="s">
        <v>35</v>
      </c>
      <c r="AI128" s="36"/>
      <c r="AJ128" s="35" t="s">
        <v>46</v>
      </c>
      <c r="AK128" s="34" t="s">
        <v>35</v>
      </c>
      <c r="AL128" s="34" t="s">
        <v>35</v>
      </c>
      <c r="AM128" s="36"/>
      <c r="AN128" s="38">
        <v>1712</v>
      </c>
      <c r="AO128" s="34" t="s">
        <v>35</v>
      </c>
      <c r="AP128" s="34" t="s">
        <v>35</v>
      </c>
      <c r="AQ128" s="36"/>
      <c r="AR128" s="35">
        <v>3782</v>
      </c>
      <c r="AS128" s="34" t="s">
        <v>35</v>
      </c>
      <c r="AT128" s="34" t="s">
        <v>35</v>
      </c>
      <c r="AU128" s="36"/>
      <c r="AV128" s="37" t="s">
        <v>30</v>
      </c>
      <c r="AW128" s="34" t="s">
        <v>35</v>
      </c>
      <c r="AX128" s="34" t="s">
        <v>35</v>
      </c>
      <c r="AY128" s="36"/>
      <c r="BB128" s="12" t="str">
        <f>D128</f>
        <v>1A1E</v>
      </c>
      <c r="BC128" s="13" t="str">
        <f>H128</f>
        <v>F212</v>
      </c>
      <c r="BD128" s="13" t="str">
        <f>L128</f>
        <v>F212</v>
      </c>
      <c r="BE128" s="3">
        <f>P128</f>
        <v>1712</v>
      </c>
      <c r="BF128" s="3" t="str">
        <f>T128</f>
        <v>F212</v>
      </c>
      <c r="BG128" s="3" t="str">
        <f>X128</f>
        <v>F212</v>
      </c>
      <c r="BH128" s="3">
        <f>AB128</f>
        <v>1712</v>
      </c>
      <c r="BI128" s="3" t="str">
        <f>AF128</f>
        <v>F212</v>
      </c>
      <c r="BJ128" s="3" t="str">
        <f>AJ128</f>
        <v>F212</v>
      </c>
      <c r="BK128" s="3">
        <f>AN128</f>
        <v>1712</v>
      </c>
      <c r="BL128" s="3">
        <f>AR128</f>
        <v>3782</v>
      </c>
      <c r="BM128" s="4" t="str">
        <f>AV128</f>
        <v>307A</v>
      </c>
    </row>
    <row r="129" spans="1:65" x14ac:dyDescent="0.25">
      <c r="A129" s="87" t="s">
        <v>75</v>
      </c>
      <c r="B129" s="100" t="s">
        <v>88</v>
      </c>
      <c r="C129" s="110">
        <f t="shared" si="48"/>
        <v>8</v>
      </c>
      <c r="D129" s="44">
        <v>1712</v>
      </c>
      <c r="E129" s="39" t="s">
        <v>35</v>
      </c>
      <c r="F129" s="39" t="s">
        <v>35</v>
      </c>
      <c r="G129" s="40"/>
      <c r="H129" s="44">
        <v>1712</v>
      </c>
      <c r="I129" s="39" t="s">
        <v>35</v>
      </c>
      <c r="J129" s="39" t="s">
        <v>35</v>
      </c>
      <c r="K129" s="40"/>
      <c r="L129" s="44">
        <v>1712</v>
      </c>
      <c r="M129" s="39" t="s">
        <v>35</v>
      </c>
      <c r="N129" s="39" t="s">
        <v>35</v>
      </c>
      <c r="O129" s="40"/>
      <c r="P129" s="8">
        <v>3782</v>
      </c>
      <c r="Q129" s="39" t="s">
        <v>35</v>
      </c>
      <c r="R129" s="39" t="s">
        <v>35</v>
      </c>
      <c r="S129" s="40"/>
      <c r="T129" s="38">
        <v>1712</v>
      </c>
      <c r="U129" s="34" t="s">
        <v>35</v>
      </c>
      <c r="V129" s="34" t="s">
        <v>35</v>
      </c>
      <c r="W129" s="36"/>
      <c r="X129" s="38">
        <v>1712</v>
      </c>
      <c r="Y129" s="34" t="s">
        <v>35</v>
      </c>
      <c r="Z129" s="34" t="s">
        <v>35</v>
      </c>
      <c r="AA129" s="36"/>
      <c r="AB129" s="35">
        <v>3782</v>
      </c>
      <c r="AC129" s="34" t="s">
        <v>35</v>
      </c>
      <c r="AD129" s="34" t="s">
        <v>35</v>
      </c>
      <c r="AE129" s="34"/>
      <c r="AF129" s="38">
        <v>1712</v>
      </c>
      <c r="AG129" s="34" t="s">
        <v>35</v>
      </c>
      <c r="AH129" s="34" t="s">
        <v>35</v>
      </c>
      <c r="AI129" s="36"/>
      <c r="AJ129" s="38">
        <v>1712</v>
      </c>
      <c r="AK129" s="34" t="s">
        <v>35</v>
      </c>
      <c r="AL129" s="34" t="s">
        <v>35</v>
      </c>
      <c r="AM129" s="36"/>
      <c r="AN129" s="35">
        <v>3782</v>
      </c>
      <c r="AO129" s="34" t="s">
        <v>35</v>
      </c>
      <c r="AP129" s="34" t="s">
        <v>35</v>
      </c>
      <c r="AQ129" s="36"/>
      <c r="AR129" s="37" t="s">
        <v>30</v>
      </c>
      <c r="AS129" s="34" t="s">
        <v>35</v>
      </c>
      <c r="AT129" s="34" t="s">
        <v>35</v>
      </c>
      <c r="AU129" s="36"/>
      <c r="AV129" s="91" t="s">
        <v>65</v>
      </c>
      <c r="AW129" s="34" t="s">
        <v>35</v>
      </c>
      <c r="AX129" s="34" t="s">
        <v>35</v>
      </c>
      <c r="AY129" s="36"/>
      <c r="BB129" s="12">
        <f>D129</f>
        <v>1712</v>
      </c>
      <c r="BC129" s="13">
        <f>H129</f>
        <v>1712</v>
      </c>
      <c r="BD129" s="13">
        <f>L129</f>
        <v>1712</v>
      </c>
      <c r="BE129" s="3">
        <f>P129</f>
        <v>3782</v>
      </c>
      <c r="BF129" s="3">
        <f>T129</f>
        <v>1712</v>
      </c>
      <c r="BG129" s="3">
        <f>X129</f>
        <v>1712</v>
      </c>
      <c r="BH129" s="3">
        <f>AB129</f>
        <v>3782</v>
      </c>
      <c r="BI129" s="3">
        <f>AF129</f>
        <v>1712</v>
      </c>
      <c r="BJ129" s="3">
        <f>AJ129</f>
        <v>1712</v>
      </c>
      <c r="BK129" s="3">
        <f>AN129</f>
        <v>3782</v>
      </c>
      <c r="BL129" s="3" t="str">
        <f>AR129</f>
        <v>307A</v>
      </c>
      <c r="BM129" s="4" t="str">
        <f>AV129</f>
        <v>B7BE</v>
      </c>
    </row>
    <row r="130" spans="1:65" x14ac:dyDescent="0.25">
      <c r="A130" s="88" t="s">
        <v>76</v>
      </c>
      <c r="B130" s="101" t="s">
        <v>89</v>
      </c>
      <c r="C130" s="110">
        <f t="shared" si="48"/>
        <v>6</v>
      </c>
      <c r="D130" s="8">
        <v>3782</v>
      </c>
      <c r="E130" s="39" t="s">
        <v>35</v>
      </c>
      <c r="F130" s="39" t="s">
        <v>35</v>
      </c>
      <c r="G130" s="40"/>
      <c r="H130" s="8">
        <v>3782</v>
      </c>
      <c r="I130" s="39" t="s">
        <v>35</v>
      </c>
      <c r="J130" s="39" t="s">
        <v>35</v>
      </c>
      <c r="K130" s="40"/>
      <c r="L130" s="8">
        <v>3782</v>
      </c>
      <c r="M130" s="39" t="s">
        <v>35</v>
      </c>
      <c r="N130" s="39" t="s">
        <v>35</v>
      </c>
      <c r="O130" s="40"/>
      <c r="P130" s="42" t="s">
        <v>30</v>
      </c>
      <c r="Q130" s="39" t="s">
        <v>35</v>
      </c>
      <c r="R130" s="39" t="s">
        <v>35</v>
      </c>
      <c r="S130" s="40"/>
      <c r="T130" s="35">
        <v>3782</v>
      </c>
      <c r="U130" s="34" t="s">
        <v>35</v>
      </c>
      <c r="V130" s="34" t="s">
        <v>35</v>
      </c>
      <c r="W130" s="36"/>
      <c r="X130" s="35">
        <v>3782</v>
      </c>
      <c r="Y130" s="34" t="s">
        <v>35</v>
      </c>
      <c r="Z130" s="34" t="s">
        <v>35</v>
      </c>
      <c r="AA130" s="36"/>
      <c r="AB130" s="37" t="s">
        <v>30</v>
      </c>
      <c r="AC130" s="34" t="s">
        <v>35</v>
      </c>
      <c r="AD130" s="34" t="s">
        <v>35</v>
      </c>
      <c r="AE130" s="34"/>
      <c r="AF130" s="35">
        <v>3782</v>
      </c>
      <c r="AG130" s="34" t="s">
        <v>35</v>
      </c>
      <c r="AH130" s="34" t="s">
        <v>35</v>
      </c>
      <c r="AI130" s="36"/>
      <c r="AJ130" s="35">
        <v>3782</v>
      </c>
      <c r="AK130" s="34" t="s">
        <v>35</v>
      </c>
      <c r="AL130" s="34" t="s">
        <v>35</v>
      </c>
      <c r="AM130" s="36"/>
      <c r="AN130" s="37" t="s">
        <v>30</v>
      </c>
      <c r="AO130" s="34" t="s">
        <v>35</v>
      </c>
      <c r="AP130" s="34" t="s">
        <v>35</v>
      </c>
      <c r="AQ130" s="36"/>
      <c r="AR130" s="91" t="s">
        <v>65</v>
      </c>
      <c r="AS130" s="34" t="s">
        <v>35</v>
      </c>
      <c r="AT130" s="34" t="s">
        <v>35</v>
      </c>
      <c r="AU130" s="36"/>
      <c r="AV130" s="35" t="s">
        <v>66</v>
      </c>
      <c r="AW130" s="34" t="s">
        <v>35</v>
      </c>
      <c r="AX130" s="34" t="s">
        <v>35</v>
      </c>
      <c r="AY130" s="36"/>
      <c r="BB130" s="12">
        <f>D130</f>
        <v>3782</v>
      </c>
      <c r="BC130" s="13">
        <f>H130</f>
        <v>3782</v>
      </c>
      <c r="BD130" s="13">
        <f>L130</f>
        <v>3782</v>
      </c>
      <c r="BE130" s="3" t="str">
        <f>P130</f>
        <v>307A</v>
      </c>
      <c r="BF130" s="3">
        <f>T130</f>
        <v>3782</v>
      </c>
      <c r="BG130" s="3">
        <f>X130</f>
        <v>3782</v>
      </c>
      <c r="BH130" s="3" t="str">
        <f>AB130</f>
        <v>307A</v>
      </c>
      <c r="BI130" s="3">
        <f>AF130</f>
        <v>3782</v>
      </c>
      <c r="BJ130" s="3">
        <f>AJ130</f>
        <v>3782</v>
      </c>
      <c r="BK130" s="3" t="str">
        <f>AN130</f>
        <v>307A</v>
      </c>
      <c r="BL130" s="3" t="str">
        <f>AR130</f>
        <v>B7BE</v>
      </c>
      <c r="BM130" s="4" t="str">
        <f>AV130</f>
        <v>A682</v>
      </c>
    </row>
    <row r="131" spans="1:65" x14ac:dyDescent="0.25">
      <c r="A131" s="89" t="s">
        <v>77</v>
      </c>
      <c r="B131" s="102" t="s">
        <v>90</v>
      </c>
      <c r="C131" s="110">
        <f t="shared" si="48"/>
        <v>4</v>
      </c>
      <c r="D131" s="42" t="s">
        <v>30</v>
      </c>
      <c r="E131" s="39" t="s">
        <v>35</v>
      </c>
      <c r="F131" s="39" t="s">
        <v>35</v>
      </c>
      <c r="G131" s="40"/>
      <c r="H131" s="42" t="s">
        <v>30</v>
      </c>
      <c r="I131" s="39" t="s">
        <v>35</v>
      </c>
      <c r="J131" s="39" t="s">
        <v>35</v>
      </c>
      <c r="K131" s="40"/>
      <c r="L131" s="42" t="s">
        <v>30</v>
      </c>
      <c r="M131" s="39" t="s">
        <v>35</v>
      </c>
      <c r="N131" s="39" t="s">
        <v>35</v>
      </c>
      <c r="O131" s="40"/>
      <c r="P131" s="94" t="s">
        <v>65</v>
      </c>
      <c r="Q131" s="39" t="s">
        <v>35</v>
      </c>
      <c r="R131" s="39" t="s">
        <v>35</v>
      </c>
      <c r="S131" s="40"/>
      <c r="T131" s="37" t="s">
        <v>30</v>
      </c>
      <c r="U131" s="34" t="s">
        <v>35</v>
      </c>
      <c r="V131" s="34" t="s">
        <v>35</v>
      </c>
      <c r="W131" s="36"/>
      <c r="X131" s="37" t="s">
        <v>30</v>
      </c>
      <c r="Y131" s="34" t="s">
        <v>35</v>
      </c>
      <c r="Z131" s="34" t="s">
        <v>35</v>
      </c>
      <c r="AA131" s="36"/>
      <c r="AB131" s="35" t="s">
        <v>60</v>
      </c>
      <c r="AC131" s="34" t="s">
        <v>35</v>
      </c>
      <c r="AD131" s="34" t="s">
        <v>35</v>
      </c>
      <c r="AE131" s="34"/>
      <c r="AF131" s="37" t="s">
        <v>30</v>
      </c>
      <c r="AG131" s="34" t="s">
        <v>35</v>
      </c>
      <c r="AH131" s="34" t="s">
        <v>35</v>
      </c>
      <c r="AI131" s="36"/>
      <c r="AJ131" s="37" t="s">
        <v>30</v>
      </c>
      <c r="AK131" s="34" t="s">
        <v>35</v>
      </c>
      <c r="AL131" s="34" t="s">
        <v>35</v>
      </c>
      <c r="AM131" s="36"/>
      <c r="AN131" s="91" t="s">
        <v>65</v>
      </c>
      <c r="AO131" s="34" t="s">
        <v>35</v>
      </c>
      <c r="AP131" s="34" t="s">
        <v>35</v>
      </c>
      <c r="AQ131" s="36"/>
      <c r="AR131" s="35" t="s">
        <v>66</v>
      </c>
      <c r="AS131" s="34" t="s">
        <v>35</v>
      </c>
      <c r="AT131" s="34" t="s">
        <v>35</v>
      </c>
      <c r="AU131" s="36"/>
      <c r="AV131" s="90" t="s">
        <v>68</v>
      </c>
      <c r="AW131" s="34" t="s">
        <v>35</v>
      </c>
      <c r="AX131" s="34" t="s">
        <v>35</v>
      </c>
      <c r="AY131" s="36"/>
      <c r="BB131" s="12" t="str">
        <f>D131</f>
        <v>307A</v>
      </c>
      <c r="BC131" s="13" t="str">
        <f>H131</f>
        <v>307A</v>
      </c>
      <c r="BD131" s="13" t="str">
        <f>L131</f>
        <v>307A</v>
      </c>
      <c r="BE131" s="3" t="str">
        <f>P131</f>
        <v>B7BE</v>
      </c>
      <c r="BF131" s="3" t="str">
        <f>T131</f>
        <v>307A</v>
      </c>
      <c r="BG131" s="3" t="str">
        <f>X131</f>
        <v>307A</v>
      </c>
      <c r="BH131" s="3" t="str">
        <f>AB131</f>
        <v>3B7E</v>
      </c>
      <c r="BI131" s="3" t="str">
        <f>AF131</f>
        <v>307A</v>
      </c>
      <c r="BJ131" s="3" t="str">
        <f>AJ131</f>
        <v>307A</v>
      </c>
      <c r="BK131" s="3" t="str">
        <f>AN131</f>
        <v>B7BE</v>
      </c>
      <c r="BL131" s="3" t="str">
        <f>AR131</f>
        <v>A682</v>
      </c>
      <c r="BM131" s="4" t="str">
        <f>AV131</f>
        <v>157E</v>
      </c>
    </row>
    <row r="132" spans="1:65" x14ac:dyDescent="0.25">
      <c r="A132" s="92" t="s">
        <v>65</v>
      </c>
      <c r="B132" s="103" t="s">
        <v>91</v>
      </c>
      <c r="C132" s="110">
        <f t="shared" si="48"/>
        <v>10</v>
      </c>
      <c r="D132" s="8" t="s">
        <v>60</v>
      </c>
      <c r="E132" s="39" t="s">
        <v>35</v>
      </c>
      <c r="F132" s="39" t="s">
        <v>35</v>
      </c>
      <c r="G132" s="40"/>
      <c r="H132" s="8">
        <v>5636</v>
      </c>
      <c r="I132" s="39" t="s">
        <v>35</v>
      </c>
      <c r="J132" s="39" t="s">
        <v>35</v>
      </c>
      <c r="K132" s="40"/>
      <c r="L132" s="8">
        <v>5636</v>
      </c>
      <c r="M132" s="39" t="s">
        <v>35</v>
      </c>
      <c r="N132" s="39" t="s">
        <v>35</v>
      </c>
      <c r="O132" s="40"/>
      <c r="P132" s="8" t="s">
        <v>66</v>
      </c>
      <c r="Q132" s="39" t="s">
        <v>35</v>
      </c>
      <c r="R132" s="39" t="s">
        <v>35</v>
      </c>
      <c r="S132" s="40"/>
      <c r="T132" s="35" t="s">
        <v>60</v>
      </c>
      <c r="U132" s="34" t="s">
        <v>35</v>
      </c>
      <c r="V132" s="34" t="s">
        <v>35</v>
      </c>
      <c r="W132" s="36"/>
      <c r="X132" s="35" t="s">
        <v>58</v>
      </c>
      <c r="Y132" s="34" t="s">
        <v>35</v>
      </c>
      <c r="Z132" s="34" t="s">
        <v>35</v>
      </c>
      <c r="AA132" s="36"/>
      <c r="AB132" s="91" t="s">
        <v>65</v>
      </c>
      <c r="AC132" s="34" t="s">
        <v>35</v>
      </c>
      <c r="AD132" s="34" t="s">
        <v>35</v>
      </c>
      <c r="AE132" s="34"/>
      <c r="AF132" s="91" t="s">
        <v>65</v>
      </c>
      <c r="AG132" s="34" t="s">
        <v>35</v>
      </c>
      <c r="AH132" s="34" t="s">
        <v>35</v>
      </c>
      <c r="AI132" s="36"/>
      <c r="AJ132" s="91" t="s">
        <v>65</v>
      </c>
      <c r="AK132" s="34" t="s">
        <v>35</v>
      </c>
      <c r="AL132" s="34" t="s">
        <v>35</v>
      </c>
      <c r="AM132" s="36"/>
      <c r="AN132" s="35" t="s">
        <v>66</v>
      </c>
      <c r="AO132" s="34" t="s">
        <v>35</v>
      </c>
      <c r="AP132" s="34" t="s">
        <v>35</v>
      </c>
      <c r="AQ132" s="36"/>
      <c r="AR132" s="35" t="s">
        <v>78</v>
      </c>
      <c r="AS132" s="34" t="s">
        <v>35</v>
      </c>
      <c r="AT132" s="34" t="s">
        <v>35</v>
      </c>
      <c r="AU132" s="36"/>
      <c r="AV132" s="70" t="s">
        <v>31</v>
      </c>
      <c r="AW132" s="34" t="s">
        <v>35</v>
      </c>
      <c r="AX132" s="34" t="s">
        <v>35</v>
      </c>
      <c r="AY132" s="36"/>
      <c r="BB132" s="12" t="str">
        <f>D132</f>
        <v>3B7E</v>
      </c>
      <c r="BC132" s="13">
        <f>H132</f>
        <v>5636</v>
      </c>
      <c r="BD132" s="13">
        <f>L132</f>
        <v>5636</v>
      </c>
      <c r="BE132" s="3" t="str">
        <f>P132</f>
        <v>A682</v>
      </c>
      <c r="BF132" s="3" t="str">
        <f>T132</f>
        <v>3B7E</v>
      </c>
      <c r="BG132" s="3" t="str">
        <f>X132</f>
        <v>2BDE</v>
      </c>
      <c r="BH132" s="3" t="str">
        <f>AB132</f>
        <v>B7BE</v>
      </c>
      <c r="BI132" s="3" t="str">
        <f>AF132</f>
        <v>B7BE</v>
      </c>
      <c r="BJ132" s="3" t="str">
        <f>AJ132</f>
        <v>B7BE</v>
      </c>
      <c r="BK132" s="3" t="str">
        <f>AN132</f>
        <v>A682</v>
      </c>
      <c r="BL132" s="3" t="str">
        <f>AR132</f>
        <v>DIR6</v>
      </c>
      <c r="BM132" s="4" t="str">
        <f>AV132</f>
        <v>1DE2</v>
      </c>
    </row>
    <row r="133" spans="1:65" x14ac:dyDescent="0.25">
      <c r="A133" s="117" t="s">
        <v>68</v>
      </c>
      <c r="B133" s="104" t="s">
        <v>92</v>
      </c>
      <c r="C133" s="110">
        <f t="shared" si="48"/>
        <v>5</v>
      </c>
      <c r="D133" s="8" t="s">
        <v>66</v>
      </c>
      <c r="E133" s="39" t="s">
        <v>35</v>
      </c>
      <c r="F133" s="39" t="s">
        <v>35</v>
      </c>
      <c r="G133" s="40"/>
      <c r="H133" s="35" t="s">
        <v>60</v>
      </c>
      <c r="I133" s="39" t="s">
        <v>35</v>
      </c>
      <c r="J133" s="39" t="s">
        <v>35</v>
      </c>
      <c r="K133" s="40"/>
      <c r="L133" s="8" t="s">
        <v>60</v>
      </c>
      <c r="M133" s="39" t="s">
        <v>35</v>
      </c>
      <c r="N133" s="39" t="s">
        <v>35</v>
      </c>
      <c r="O133" s="40"/>
      <c r="P133" s="8" t="s">
        <v>78</v>
      </c>
      <c r="Q133" s="39" t="s">
        <v>35</v>
      </c>
      <c r="R133" s="39" t="s">
        <v>35</v>
      </c>
      <c r="S133" s="40"/>
      <c r="T133" s="91" t="s">
        <v>65</v>
      </c>
      <c r="U133" s="34" t="s">
        <v>35</v>
      </c>
      <c r="V133" s="34" t="s">
        <v>35</v>
      </c>
      <c r="W133" s="36"/>
      <c r="X133" s="35" t="s">
        <v>60</v>
      </c>
      <c r="Y133" s="34" t="s">
        <v>35</v>
      </c>
      <c r="Z133" s="34" t="s">
        <v>35</v>
      </c>
      <c r="AA133" s="36"/>
      <c r="AB133" s="35" t="s">
        <v>66</v>
      </c>
      <c r="AC133" s="34" t="s">
        <v>35</v>
      </c>
      <c r="AD133" s="34" t="s">
        <v>35</v>
      </c>
      <c r="AE133" s="34"/>
      <c r="AF133" s="35" t="s">
        <v>66</v>
      </c>
      <c r="AG133" s="34" t="s">
        <v>35</v>
      </c>
      <c r="AH133" s="34" t="s">
        <v>35</v>
      </c>
      <c r="AI133" s="36"/>
      <c r="AJ133" s="35" t="s">
        <v>66</v>
      </c>
      <c r="AK133" s="34" t="s">
        <v>35</v>
      </c>
      <c r="AL133" s="34" t="s">
        <v>35</v>
      </c>
      <c r="AM133" s="36"/>
      <c r="AN133" s="90" t="s">
        <v>68</v>
      </c>
      <c r="AO133" s="34" t="s">
        <v>35</v>
      </c>
      <c r="AP133" s="34" t="s">
        <v>35</v>
      </c>
      <c r="AQ133" s="36"/>
      <c r="AR133" s="90" t="s">
        <v>68</v>
      </c>
      <c r="AS133" s="34" t="s">
        <v>35</v>
      </c>
      <c r="AT133" s="34" t="s">
        <v>35</v>
      </c>
      <c r="AU133" s="36"/>
      <c r="AV133" s="113" t="s">
        <v>69</v>
      </c>
      <c r="AW133" s="34" t="s">
        <v>35</v>
      </c>
      <c r="AX133" s="34" t="s">
        <v>35</v>
      </c>
      <c r="AY133" s="36"/>
      <c r="BB133" s="12" t="str">
        <f>D133</f>
        <v>A682</v>
      </c>
      <c r="BC133" s="13" t="str">
        <f>H133</f>
        <v>3B7E</v>
      </c>
      <c r="BD133" s="13" t="str">
        <f>L133</f>
        <v>3B7E</v>
      </c>
      <c r="BE133" s="3" t="str">
        <f>P133</f>
        <v>DIR6</v>
      </c>
      <c r="BF133" s="3" t="str">
        <f>T133</f>
        <v>B7BE</v>
      </c>
      <c r="BG133" s="3" t="str">
        <f>X133</f>
        <v>3B7E</v>
      </c>
      <c r="BH133" s="3" t="str">
        <f>AB133</f>
        <v>A682</v>
      </c>
      <c r="BI133" s="3" t="str">
        <f>AF133</f>
        <v>A682</v>
      </c>
      <c r="BJ133" s="3" t="str">
        <f>AJ133</f>
        <v>A682</v>
      </c>
      <c r="BK133" s="3" t="str">
        <f>AN133</f>
        <v>157E</v>
      </c>
      <c r="BL133" s="3" t="str">
        <f>AR133</f>
        <v>157E</v>
      </c>
      <c r="BM133" s="4" t="str">
        <f>AV133</f>
        <v>BCC6</v>
      </c>
    </row>
    <row r="134" spans="1:65" x14ac:dyDescent="0.25">
      <c r="A134" s="111" t="s">
        <v>69</v>
      </c>
      <c r="B134" s="111" t="s">
        <v>93</v>
      </c>
      <c r="C134" s="110">
        <f t="shared" si="48"/>
        <v>4</v>
      </c>
      <c r="D134" s="8" t="s">
        <v>78</v>
      </c>
      <c r="E134" s="39" t="s">
        <v>35</v>
      </c>
      <c r="F134" s="39" t="s">
        <v>35</v>
      </c>
      <c r="G134" s="40"/>
      <c r="H134" s="8" t="s">
        <v>66</v>
      </c>
      <c r="I134" s="39" t="s">
        <v>35</v>
      </c>
      <c r="J134" s="39" t="s">
        <v>35</v>
      </c>
      <c r="K134" s="40"/>
      <c r="L134" s="94" t="s">
        <v>65</v>
      </c>
      <c r="M134" s="39" t="s">
        <v>35</v>
      </c>
      <c r="N134" s="39" t="s">
        <v>35</v>
      </c>
      <c r="O134" s="40"/>
      <c r="P134" s="93" t="s">
        <v>31</v>
      </c>
      <c r="Q134" s="39" t="s">
        <v>35</v>
      </c>
      <c r="R134" s="39" t="s">
        <v>35</v>
      </c>
      <c r="S134" s="40"/>
      <c r="T134" s="35" t="s">
        <v>66</v>
      </c>
      <c r="U134" s="34" t="s">
        <v>35</v>
      </c>
      <c r="V134" s="34" t="s">
        <v>35</v>
      </c>
      <c r="W134" s="36"/>
      <c r="X134" s="91" t="s">
        <v>65</v>
      </c>
      <c r="Y134" s="34" t="s">
        <v>35</v>
      </c>
      <c r="Z134" s="34" t="s">
        <v>35</v>
      </c>
      <c r="AA134" s="36"/>
      <c r="AB134" s="35" t="s">
        <v>78</v>
      </c>
      <c r="AC134" s="34" t="s">
        <v>35</v>
      </c>
      <c r="AD134" s="34" t="s">
        <v>35</v>
      </c>
      <c r="AE134" s="34"/>
      <c r="AF134" s="35" t="s">
        <v>78</v>
      </c>
      <c r="AG134" s="34" t="s">
        <v>35</v>
      </c>
      <c r="AH134" s="34" t="s">
        <v>35</v>
      </c>
      <c r="AI134" s="36"/>
      <c r="AJ134" s="35" t="s">
        <v>78</v>
      </c>
      <c r="AK134" s="34" t="s">
        <v>35</v>
      </c>
      <c r="AL134" s="34" t="s">
        <v>35</v>
      </c>
      <c r="AM134" s="36"/>
      <c r="AN134" s="70" t="s">
        <v>31</v>
      </c>
      <c r="AO134" s="34" t="s">
        <v>35</v>
      </c>
      <c r="AP134" s="34" t="s">
        <v>35</v>
      </c>
      <c r="AQ134" s="36"/>
      <c r="AR134" s="70" t="s">
        <v>31</v>
      </c>
      <c r="AS134" s="34" t="s">
        <v>35</v>
      </c>
      <c r="AT134" s="34" t="s">
        <v>35</v>
      </c>
      <c r="AU134" s="36"/>
      <c r="AV134" s="35" t="s">
        <v>70</v>
      </c>
      <c r="AW134" s="34" t="s">
        <v>35</v>
      </c>
      <c r="AX134" s="34" t="s">
        <v>35</v>
      </c>
      <c r="AY134" s="36"/>
      <c r="BB134" s="12" t="str">
        <f>D134</f>
        <v>DIR6</v>
      </c>
      <c r="BC134" s="13" t="str">
        <f>H134</f>
        <v>A682</v>
      </c>
      <c r="BD134" s="13" t="str">
        <f>L134</f>
        <v>B7BE</v>
      </c>
      <c r="BE134" s="3" t="str">
        <f>P134</f>
        <v>1DE2</v>
      </c>
      <c r="BF134" s="3" t="str">
        <f>T134</f>
        <v>A682</v>
      </c>
      <c r="BG134" s="3" t="str">
        <f>X134</f>
        <v>B7BE</v>
      </c>
      <c r="BH134" s="3" t="str">
        <f>AB134</f>
        <v>DIR6</v>
      </c>
      <c r="BI134" s="3" t="str">
        <f>AF134</f>
        <v>DIR6</v>
      </c>
      <c r="BJ134" s="3" t="str">
        <f>AJ134</f>
        <v>DIR6</v>
      </c>
      <c r="BK134" s="3" t="str">
        <f>AN134</f>
        <v>1DE2</v>
      </c>
      <c r="BL134" s="3" t="str">
        <f>AR134</f>
        <v>1DE2</v>
      </c>
      <c r="BM134" s="4" t="str">
        <f>AV134</f>
        <v>25F2</v>
      </c>
    </row>
    <row r="135" spans="1:65" x14ac:dyDescent="0.25">
      <c r="A135" s="112" t="s">
        <v>79</v>
      </c>
      <c r="B135" s="112" t="s">
        <v>94</v>
      </c>
      <c r="C135" s="110">
        <f t="shared" si="48"/>
        <v>0</v>
      </c>
      <c r="D135" s="93" t="s">
        <v>31</v>
      </c>
      <c r="E135" s="39" t="s">
        <v>35</v>
      </c>
      <c r="F135" s="39" t="s">
        <v>35</v>
      </c>
      <c r="G135" s="40"/>
      <c r="H135" s="8" t="s">
        <v>78</v>
      </c>
      <c r="I135" s="39" t="s">
        <v>35</v>
      </c>
      <c r="J135" s="39" t="s">
        <v>35</v>
      </c>
      <c r="K135" s="40"/>
      <c r="L135" s="8" t="s">
        <v>66</v>
      </c>
      <c r="M135" s="39" t="s">
        <v>35</v>
      </c>
      <c r="N135" s="39" t="s">
        <v>35</v>
      </c>
      <c r="O135" s="40"/>
      <c r="P135" s="8" t="s">
        <v>70</v>
      </c>
      <c r="Q135" s="39" t="s">
        <v>35</v>
      </c>
      <c r="R135" s="39" t="s">
        <v>35</v>
      </c>
      <c r="S135" s="40"/>
      <c r="T135" s="35" t="s">
        <v>78</v>
      </c>
      <c r="U135" s="34" t="s">
        <v>35</v>
      </c>
      <c r="V135" s="34" t="s">
        <v>35</v>
      </c>
      <c r="W135" s="36"/>
      <c r="X135" s="35" t="s">
        <v>66</v>
      </c>
      <c r="Y135" s="34" t="s">
        <v>35</v>
      </c>
      <c r="Z135" s="34" t="s">
        <v>35</v>
      </c>
      <c r="AA135" s="36"/>
      <c r="AB135" s="70" t="s">
        <v>31</v>
      </c>
      <c r="AC135" s="34" t="s">
        <v>35</v>
      </c>
      <c r="AD135" s="34" t="s">
        <v>35</v>
      </c>
      <c r="AE135" s="34"/>
      <c r="AF135" s="70" t="s">
        <v>31</v>
      </c>
      <c r="AG135" s="34" t="s">
        <v>35</v>
      </c>
      <c r="AH135" s="34" t="s">
        <v>35</v>
      </c>
      <c r="AI135" s="36"/>
      <c r="AJ135" s="90" t="s">
        <v>68</v>
      </c>
      <c r="AK135" s="34" t="s">
        <v>35</v>
      </c>
      <c r="AL135" s="34" t="s">
        <v>35</v>
      </c>
      <c r="AM135" s="36"/>
      <c r="AN135" s="113" t="s">
        <v>69</v>
      </c>
      <c r="AO135" s="34" t="s">
        <v>35</v>
      </c>
      <c r="AP135" s="34" t="s">
        <v>35</v>
      </c>
      <c r="AQ135" s="36"/>
      <c r="AR135" s="113" t="s">
        <v>69</v>
      </c>
      <c r="AS135" s="34" t="s">
        <v>35</v>
      </c>
      <c r="AT135" s="34" t="s">
        <v>35</v>
      </c>
      <c r="AU135" s="36"/>
      <c r="AV135" s="35" t="s">
        <v>71</v>
      </c>
      <c r="AW135" s="34" t="s">
        <v>35</v>
      </c>
      <c r="AX135" s="34" t="s">
        <v>35</v>
      </c>
      <c r="AY135" s="36"/>
      <c r="BB135" s="12" t="str">
        <f>D135</f>
        <v>1DE2</v>
      </c>
      <c r="BC135" s="13" t="str">
        <f>H135</f>
        <v>DIR6</v>
      </c>
      <c r="BD135" s="13" t="str">
        <f>L135</f>
        <v>A682</v>
      </c>
      <c r="BE135" s="3" t="str">
        <f>P135</f>
        <v>25F2</v>
      </c>
      <c r="BF135" s="3" t="str">
        <f>T135</f>
        <v>DIR6</v>
      </c>
      <c r="BG135" s="3" t="str">
        <f>X135</f>
        <v>A682</v>
      </c>
      <c r="BH135" s="3" t="str">
        <f>AB135</f>
        <v>1DE2</v>
      </c>
      <c r="BI135" s="3" t="str">
        <f>AF135</f>
        <v>1DE2</v>
      </c>
      <c r="BJ135" s="3" t="str">
        <f>AJ135</f>
        <v>157E</v>
      </c>
      <c r="BK135" s="3" t="str">
        <f>AN135</f>
        <v>BCC6</v>
      </c>
      <c r="BL135" s="3" t="str">
        <f>AR135</f>
        <v>BCC6</v>
      </c>
      <c r="BM135" s="4" t="str">
        <f>AV135</f>
        <v>CA62</v>
      </c>
    </row>
    <row r="136" spans="1:65" x14ac:dyDescent="0.25">
      <c r="D136" s="114" t="s">
        <v>69</v>
      </c>
      <c r="E136" s="39" t="s">
        <v>35</v>
      </c>
      <c r="F136" s="39" t="s">
        <v>35</v>
      </c>
      <c r="G136" s="40"/>
      <c r="H136" s="93" t="s">
        <v>31</v>
      </c>
      <c r="I136" s="39" t="s">
        <v>35</v>
      </c>
      <c r="J136" s="39" t="s">
        <v>35</v>
      </c>
      <c r="K136" s="40"/>
      <c r="L136" s="8" t="s">
        <v>78</v>
      </c>
      <c r="M136" s="39" t="s">
        <v>35</v>
      </c>
      <c r="N136" s="39" t="s">
        <v>35</v>
      </c>
      <c r="O136" s="40"/>
      <c r="P136" s="8" t="s">
        <v>72</v>
      </c>
      <c r="Q136" s="39" t="s">
        <v>35</v>
      </c>
      <c r="R136" s="39" t="s">
        <v>35</v>
      </c>
      <c r="S136" s="40"/>
      <c r="T136" s="70" t="s">
        <v>31</v>
      </c>
      <c r="U136" s="34" t="s">
        <v>35</v>
      </c>
      <c r="V136" s="34" t="s">
        <v>35</v>
      </c>
      <c r="W136" s="36"/>
      <c r="X136" s="35" t="s">
        <v>78</v>
      </c>
      <c r="Y136" s="34" t="s">
        <v>35</v>
      </c>
      <c r="Z136" s="34" t="s">
        <v>35</v>
      </c>
      <c r="AA136" s="36"/>
      <c r="AB136" s="35" t="s">
        <v>71</v>
      </c>
      <c r="AC136" s="34" t="s">
        <v>35</v>
      </c>
      <c r="AD136" s="34" t="s">
        <v>35</v>
      </c>
      <c r="AE136" s="34"/>
      <c r="AF136" s="35" t="s">
        <v>70</v>
      </c>
      <c r="AG136" s="34" t="s">
        <v>35</v>
      </c>
      <c r="AH136" s="34" t="s">
        <v>35</v>
      </c>
      <c r="AI136" s="36"/>
      <c r="AJ136" s="70" t="s">
        <v>31</v>
      </c>
      <c r="AK136" s="34" t="s">
        <v>35</v>
      </c>
      <c r="AL136" s="34" t="s">
        <v>35</v>
      </c>
      <c r="AM136" s="36"/>
      <c r="AN136" s="35" t="s">
        <v>70</v>
      </c>
      <c r="AO136" s="34" t="s">
        <v>35</v>
      </c>
      <c r="AP136" s="34" t="s">
        <v>35</v>
      </c>
      <c r="AQ136" s="36"/>
      <c r="AR136" s="35" t="s">
        <v>70</v>
      </c>
      <c r="AS136" s="34" t="s">
        <v>35</v>
      </c>
      <c r="AT136" s="34" t="s">
        <v>35</v>
      </c>
      <c r="AU136" s="36"/>
      <c r="AV136" s="35" t="s">
        <v>72</v>
      </c>
      <c r="AW136" s="34" t="s">
        <v>35</v>
      </c>
      <c r="AX136" s="34" t="s">
        <v>35</v>
      </c>
      <c r="AY136" s="36"/>
      <c r="BB136" s="12" t="str">
        <f>D136</f>
        <v>BCC6</v>
      </c>
      <c r="BC136" s="13" t="str">
        <f>H136</f>
        <v>1DE2</v>
      </c>
      <c r="BD136" s="13" t="str">
        <f>L136</f>
        <v>DIR6</v>
      </c>
      <c r="BE136" s="3" t="str">
        <f>P136</f>
        <v>298A</v>
      </c>
      <c r="BF136" s="3" t="str">
        <f>T136</f>
        <v>1DE2</v>
      </c>
      <c r="BG136" s="3" t="str">
        <f>X136</f>
        <v>DIR6</v>
      </c>
      <c r="BH136" s="3" t="str">
        <f>AB136</f>
        <v>CA62</v>
      </c>
      <c r="BI136" s="3" t="str">
        <f>AF136</f>
        <v>25F2</v>
      </c>
      <c r="BJ136" s="3" t="str">
        <f>AJ136</f>
        <v>1DE2</v>
      </c>
      <c r="BK136" s="3" t="str">
        <f>AN136</f>
        <v>25F2</v>
      </c>
      <c r="BL136" s="3" t="str">
        <f>AR136</f>
        <v>25F2</v>
      </c>
      <c r="BM136" s="4" t="str">
        <f>AV136</f>
        <v>298A</v>
      </c>
    </row>
    <row r="137" spans="1:65" x14ac:dyDescent="0.25">
      <c r="D137" s="8" t="s">
        <v>70</v>
      </c>
      <c r="E137" s="39" t="s">
        <v>35</v>
      </c>
      <c r="F137" s="39" t="s">
        <v>35</v>
      </c>
      <c r="G137" s="40"/>
      <c r="H137" s="8" t="s">
        <v>70</v>
      </c>
      <c r="I137" s="39" t="s">
        <v>35</v>
      </c>
      <c r="J137" s="39" t="s">
        <v>35</v>
      </c>
      <c r="K137" s="40"/>
      <c r="L137" s="93" t="s">
        <v>31</v>
      </c>
      <c r="M137" s="39" t="s">
        <v>35</v>
      </c>
      <c r="N137" s="39" t="s">
        <v>35</v>
      </c>
      <c r="O137" s="40"/>
      <c r="P137" s="8" t="s">
        <v>73</v>
      </c>
      <c r="Q137" s="39" t="s">
        <v>35</v>
      </c>
      <c r="R137" s="39" t="s">
        <v>35</v>
      </c>
      <c r="S137" s="40"/>
      <c r="T137" s="35" t="s">
        <v>70</v>
      </c>
      <c r="U137" s="34" t="s">
        <v>35</v>
      </c>
      <c r="V137" s="34" t="s">
        <v>35</v>
      </c>
      <c r="W137" s="36"/>
      <c r="X137" s="90" t="s">
        <v>68</v>
      </c>
      <c r="Y137" s="34" t="s">
        <v>35</v>
      </c>
      <c r="Z137" s="34" t="s">
        <v>35</v>
      </c>
      <c r="AA137" s="36"/>
      <c r="AB137" s="35" t="s">
        <v>72</v>
      </c>
      <c r="AC137" s="34" t="s">
        <v>35</v>
      </c>
      <c r="AD137" s="34" t="s">
        <v>35</v>
      </c>
      <c r="AE137" s="34"/>
      <c r="AF137" s="35" t="s">
        <v>71</v>
      </c>
      <c r="AG137" s="34" t="s">
        <v>35</v>
      </c>
      <c r="AH137" s="34" t="s">
        <v>35</v>
      </c>
      <c r="AI137" s="36"/>
      <c r="AJ137" s="35" t="s">
        <v>70</v>
      </c>
      <c r="AK137" s="34" t="s">
        <v>35</v>
      </c>
      <c r="AL137" s="34" t="s">
        <v>35</v>
      </c>
      <c r="AM137" s="36"/>
      <c r="AN137" s="35" t="s">
        <v>71</v>
      </c>
      <c r="AO137" s="34" t="s">
        <v>35</v>
      </c>
      <c r="AP137" s="34" t="s">
        <v>35</v>
      </c>
      <c r="AQ137" s="36"/>
      <c r="AR137" s="35" t="s">
        <v>71</v>
      </c>
      <c r="AS137" s="34" t="s">
        <v>35</v>
      </c>
      <c r="AT137" s="34" t="s">
        <v>35</v>
      </c>
      <c r="AU137" s="36"/>
      <c r="AV137" s="87" t="s">
        <v>75</v>
      </c>
      <c r="AW137" s="34" t="s">
        <v>35</v>
      </c>
      <c r="AX137" s="34" t="s">
        <v>35</v>
      </c>
      <c r="AY137" s="36"/>
      <c r="BB137" s="12" t="str">
        <f>D137</f>
        <v>25F2</v>
      </c>
      <c r="BC137" s="13" t="str">
        <f>H137</f>
        <v>25F2</v>
      </c>
      <c r="BD137" s="13" t="str">
        <f>L137</f>
        <v>1DE2</v>
      </c>
      <c r="BE137" s="3" t="str">
        <f>P137</f>
        <v>25BE</v>
      </c>
      <c r="BF137" s="3" t="str">
        <f>T137</f>
        <v>25F2</v>
      </c>
      <c r="BG137" s="3" t="str">
        <f>X137</f>
        <v>157E</v>
      </c>
      <c r="BH137" s="3" t="str">
        <f>AB137</f>
        <v>298A</v>
      </c>
      <c r="BI137" s="3" t="str">
        <f>AF137</f>
        <v>CA62</v>
      </c>
      <c r="BJ137" s="3" t="str">
        <f>AJ137</f>
        <v>25F2</v>
      </c>
      <c r="BK137" s="3" t="str">
        <f>AN137</f>
        <v>CA62</v>
      </c>
      <c r="BL137" s="3" t="str">
        <f>AR137</f>
        <v>CA62</v>
      </c>
      <c r="BM137" s="4" t="str">
        <f>AV137</f>
        <v>C17E</v>
      </c>
    </row>
    <row r="138" spans="1:65" x14ac:dyDescent="0.25">
      <c r="D138" s="8" t="s">
        <v>71</v>
      </c>
      <c r="E138" s="39" t="s">
        <v>35</v>
      </c>
      <c r="F138" s="39" t="s">
        <v>35</v>
      </c>
      <c r="G138" s="40"/>
      <c r="H138" s="8" t="s">
        <v>72</v>
      </c>
      <c r="I138" s="39" t="s">
        <v>35</v>
      </c>
      <c r="J138" s="39" t="s">
        <v>35</v>
      </c>
      <c r="K138" s="40"/>
      <c r="L138" s="8" t="s">
        <v>70</v>
      </c>
      <c r="M138" s="39" t="s">
        <v>35</v>
      </c>
      <c r="N138" s="39" t="s">
        <v>35</v>
      </c>
      <c r="O138" s="40"/>
      <c r="P138" s="8" t="s">
        <v>74</v>
      </c>
      <c r="Q138" s="39" t="s">
        <v>35</v>
      </c>
      <c r="R138" s="39" t="s">
        <v>35</v>
      </c>
      <c r="S138" s="40"/>
      <c r="T138" s="35" t="s">
        <v>72</v>
      </c>
      <c r="U138" s="34" t="s">
        <v>35</v>
      </c>
      <c r="V138" s="34" t="s">
        <v>35</v>
      </c>
      <c r="W138" s="36"/>
      <c r="X138" s="70" t="s">
        <v>31</v>
      </c>
      <c r="Y138" s="34" t="s">
        <v>35</v>
      </c>
      <c r="Z138" s="34" t="s">
        <v>35</v>
      </c>
      <c r="AA138" s="36"/>
      <c r="AB138" s="35" t="s">
        <v>73</v>
      </c>
      <c r="AC138" s="34" t="s">
        <v>35</v>
      </c>
      <c r="AD138" s="34" t="s">
        <v>35</v>
      </c>
      <c r="AE138" s="34"/>
      <c r="AF138" s="35" t="s">
        <v>72</v>
      </c>
      <c r="AG138" s="34" t="s">
        <v>35</v>
      </c>
      <c r="AH138" s="34" t="s">
        <v>35</v>
      </c>
      <c r="AI138" s="36"/>
      <c r="AJ138" s="35" t="s">
        <v>71</v>
      </c>
      <c r="AK138" s="34" t="s">
        <v>35</v>
      </c>
      <c r="AL138" s="34" t="s">
        <v>35</v>
      </c>
      <c r="AM138" s="36"/>
      <c r="AN138" s="35" t="s">
        <v>72</v>
      </c>
      <c r="AO138" s="34" t="s">
        <v>35</v>
      </c>
      <c r="AP138" s="34" t="s">
        <v>35</v>
      </c>
      <c r="AQ138" s="36"/>
      <c r="AR138" s="35" t="s">
        <v>72</v>
      </c>
      <c r="AS138" s="34" t="s">
        <v>35</v>
      </c>
      <c r="AT138" s="34" t="s">
        <v>35</v>
      </c>
      <c r="AU138" s="36"/>
      <c r="AV138" s="88" t="s">
        <v>76</v>
      </c>
      <c r="AW138" s="34" t="s">
        <v>35</v>
      </c>
      <c r="AX138" s="34" t="s">
        <v>35</v>
      </c>
      <c r="AY138" s="36"/>
      <c r="BB138" s="12" t="str">
        <f>D138</f>
        <v>CA62</v>
      </c>
      <c r="BC138" s="13" t="str">
        <f>H138</f>
        <v>298A</v>
      </c>
      <c r="BD138" s="13" t="str">
        <f>L138</f>
        <v>25F2</v>
      </c>
      <c r="BE138" s="3" t="str">
        <f>P138</f>
        <v>B9CA</v>
      </c>
      <c r="BF138" s="3" t="str">
        <f>T138</f>
        <v>298A</v>
      </c>
      <c r="BG138" s="3" t="str">
        <f>X138</f>
        <v>1DE2</v>
      </c>
      <c r="BH138" s="3" t="str">
        <f>AB138</f>
        <v>25BE</v>
      </c>
      <c r="BI138" s="3" t="str">
        <f>AF138</f>
        <v>298A</v>
      </c>
      <c r="BJ138" s="3" t="str">
        <f>AJ138</f>
        <v>CA62</v>
      </c>
      <c r="BK138" s="3" t="str">
        <f>AN138</f>
        <v>298A</v>
      </c>
      <c r="BL138" s="3" t="str">
        <f>AR138</f>
        <v>298A</v>
      </c>
      <c r="BM138" s="4" t="str">
        <f>AV138</f>
        <v>BD5E</v>
      </c>
    </row>
    <row r="139" spans="1:65" x14ac:dyDescent="0.25">
      <c r="D139" s="8" t="s">
        <v>72</v>
      </c>
      <c r="E139" s="39" t="s">
        <v>35</v>
      </c>
      <c r="F139" s="39" t="s">
        <v>35</v>
      </c>
      <c r="G139" s="40"/>
      <c r="H139" s="94" t="s">
        <v>73</v>
      </c>
      <c r="I139" s="39" t="s">
        <v>35</v>
      </c>
      <c r="J139" s="39" t="s">
        <v>35</v>
      </c>
      <c r="K139" s="40"/>
      <c r="L139" s="8" t="s">
        <v>72</v>
      </c>
      <c r="M139" s="39" t="s">
        <v>35</v>
      </c>
      <c r="N139" s="39" t="s">
        <v>35</v>
      </c>
      <c r="O139" s="40"/>
      <c r="P139" s="86" t="s">
        <v>75</v>
      </c>
      <c r="Q139" s="39" t="s">
        <v>35</v>
      </c>
      <c r="R139" s="39" t="s">
        <v>35</v>
      </c>
      <c r="S139" s="40"/>
      <c r="T139" s="35" t="s">
        <v>73</v>
      </c>
      <c r="U139" s="34" t="s">
        <v>35</v>
      </c>
      <c r="V139" s="34" t="s">
        <v>35</v>
      </c>
      <c r="W139" s="36"/>
      <c r="X139" s="35" t="s">
        <v>70</v>
      </c>
      <c r="Y139" s="34" t="s">
        <v>35</v>
      </c>
      <c r="Z139" s="34" t="s">
        <v>35</v>
      </c>
      <c r="AA139" s="36"/>
      <c r="AB139" s="35" t="s">
        <v>74</v>
      </c>
      <c r="AC139" s="34" t="s">
        <v>35</v>
      </c>
      <c r="AD139" s="34" t="s">
        <v>35</v>
      </c>
      <c r="AE139" s="34"/>
      <c r="AF139" s="35" t="s">
        <v>73</v>
      </c>
      <c r="AG139" s="34" t="s">
        <v>35</v>
      </c>
      <c r="AH139" s="34" t="s">
        <v>35</v>
      </c>
      <c r="AI139" s="36"/>
      <c r="AJ139" s="35" t="s">
        <v>72</v>
      </c>
      <c r="AK139" s="34" t="s">
        <v>35</v>
      </c>
      <c r="AL139" s="34" t="s">
        <v>35</v>
      </c>
      <c r="AM139" s="36"/>
      <c r="AN139" s="89" t="s">
        <v>77</v>
      </c>
      <c r="AO139" s="34" t="s">
        <v>35</v>
      </c>
      <c r="AP139" s="34" t="s">
        <v>35</v>
      </c>
      <c r="AQ139" s="36"/>
      <c r="AR139" s="35" t="s">
        <v>74</v>
      </c>
      <c r="AS139" s="34" t="s">
        <v>35</v>
      </c>
      <c r="AT139" s="34" t="s">
        <v>35</v>
      </c>
      <c r="AU139" s="36"/>
      <c r="AV139" s="89" t="s">
        <v>77</v>
      </c>
      <c r="AW139" s="34" t="s">
        <v>35</v>
      </c>
      <c r="AX139" s="34" t="s">
        <v>35</v>
      </c>
      <c r="AY139" s="36"/>
      <c r="BB139" s="12" t="str">
        <f>D139</f>
        <v>298A</v>
      </c>
      <c r="BC139" s="13" t="str">
        <f>H139</f>
        <v>25BE</v>
      </c>
      <c r="BD139" s="13" t="str">
        <f>L139</f>
        <v>298A</v>
      </c>
      <c r="BE139" s="3" t="str">
        <f>P139</f>
        <v>C17E</v>
      </c>
      <c r="BF139" s="3" t="str">
        <f>T139</f>
        <v>25BE</v>
      </c>
      <c r="BG139" s="3" t="str">
        <f>X139</f>
        <v>25F2</v>
      </c>
      <c r="BH139" s="3" t="str">
        <f>AB139</f>
        <v>B9CA</v>
      </c>
      <c r="BI139" s="3" t="str">
        <f>AF139</f>
        <v>25BE</v>
      </c>
      <c r="BJ139" s="3" t="str">
        <f>AJ139</f>
        <v>298A</v>
      </c>
      <c r="BK139" s="3" t="str">
        <f>AN139</f>
        <v>211E</v>
      </c>
      <c r="BL139" s="3" t="str">
        <f>AR139</f>
        <v>B9CA</v>
      </c>
      <c r="BM139" s="4" t="str">
        <f>AV139</f>
        <v>211E</v>
      </c>
    </row>
    <row r="140" spans="1:65" x14ac:dyDescent="0.25">
      <c r="D140" s="8" t="s">
        <v>73</v>
      </c>
      <c r="E140" s="39" t="s">
        <v>35</v>
      </c>
      <c r="F140" s="39" t="s">
        <v>35</v>
      </c>
      <c r="G140" s="40"/>
      <c r="H140" s="8" t="s">
        <v>74</v>
      </c>
      <c r="I140" s="39" t="s">
        <v>35</v>
      </c>
      <c r="J140" s="39" t="s">
        <v>35</v>
      </c>
      <c r="K140" s="40"/>
      <c r="L140" s="8" t="s">
        <v>73</v>
      </c>
      <c r="M140" s="39" t="s">
        <v>35</v>
      </c>
      <c r="N140" s="39" t="s">
        <v>35</v>
      </c>
      <c r="O140" s="40"/>
      <c r="P140" s="8"/>
      <c r="Q140" s="39"/>
      <c r="R140" s="39"/>
      <c r="S140" s="40"/>
      <c r="T140" s="8" t="s">
        <v>74</v>
      </c>
      <c r="U140" s="34" t="s">
        <v>35</v>
      </c>
      <c r="V140" s="34" t="s">
        <v>35</v>
      </c>
      <c r="W140" s="36"/>
      <c r="X140" s="35" t="s">
        <v>71</v>
      </c>
      <c r="Y140" s="34" t="s">
        <v>35</v>
      </c>
      <c r="Z140" s="34" t="s">
        <v>35</v>
      </c>
      <c r="AA140" s="36"/>
      <c r="AB140" s="87" t="s">
        <v>75</v>
      </c>
      <c r="AC140" s="34" t="s">
        <v>35</v>
      </c>
      <c r="AD140" s="34" t="s">
        <v>35</v>
      </c>
      <c r="AE140" s="34"/>
      <c r="AF140" s="87" t="s">
        <v>75</v>
      </c>
      <c r="AG140" s="34" t="s">
        <v>35</v>
      </c>
      <c r="AH140" s="34" t="s">
        <v>35</v>
      </c>
      <c r="AI140" s="36"/>
      <c r="AJ140" s="35" t="s">
        <v>74</v>
      </c>
      <c r="AK140" s="34" t="s">
        <v>35</v>
      </c>
      <c r="AL140" s="34" t="s">
        <v>35</v>
      </c>
      <c r="AM140" s="36"/>
      <c r="AN140" s="35"/>
      <c r="AO140" s="34"/>
      <c r="AP140" s="34"/>
      <c r="AQ140" s="36"/>
      <c r="AR140" s="87" t="s">
        <v>75</v>
      </c>
      <c r="AS140" s="34" t="s">
        <v>35</v>
      </c>
      <c r="AT140" s="34" t="s">
        <v>35</v>
      </c>
      <c r="AU140" s="36"/>
      <c r="AV140" s="35"/>
      <c r="AW140" s="34"/>
      <c r="AX140" s="34"/>
      <c r="AY140" s="36"/>
      <c r="BB140" s="12" t="str">
        <f>D140</f>
        <v>25BE</v>
      </c>
      <c r="BC140" s="13" t="str">
        <f>H140</f>
        <v>B9CA</v>
      </c>
      <c r="BD140" s="13" t="str">
        <f>L140</f>
        <v>25BE</v>
      </c>
      <c r="BE140" s="3">
        <f>P140</f>
        <v>0</v>
      </c>
      <c r="BF140" s="3" t="str">
        <f>T140</f>
        <v>B9CA</v>
      </c>
      <c r="BG140" s="3" t="str">
        <f>X140</f>
        <v>CA62</v>
      </c>
      <c r="BH140" s="3" t="str">
        <f>AB140</f>
        <v>C17E</v>
      </c>
      <c r="BI140" s="3" t="str">
        <f>AF140</f>
        <v>C17E</v>
      </c>
      <c r="BJ140" s="3" t="str">
        <f>AJ140</f>
        <v>B9CA</v>
      </c>
      <c r="BK140" s="3">
        <f>AN140</f>
        <v>0</v>
      </c>
      <c r="BL140" s="3" t="str">
        <f>AR140</f>
        <v>C17E</v>
      </c>
      <c r="BM140" s="4">
        <f>AV140</f>
        <v>0</v>
      </c>
    </row>
    <row r="141" spans="1:65" x14ac:dyDescent="0.25">
      <c r="D141" s="8"/>
      <c r="E141" s="39"/>
      <c r="F141" s="39"/>
      <c r="G141" s="40"/>
      <c r="H141" s="8"/>
      <c r="I141" s="39"/>
      <c r="J141" s="39"/>
      <c r="K141" s="40"/>
      <c r="L141" s="8" t="s">
        <v>74</v>
      </c>
      <c r="M141" s="39" t="s">
        <v>35</v>
      </c>
      <c r="N141" s="39" t="s">
        <v>35</v>
      </c>
      <c r="O141" s="40"/>
      <c r="P141" s="8"/>
      <c r="Q141" s="39"/>
      <c r="R141" s="39"/>
      <c r="S141" s="40"/>
      <c r="T141" s="86" t="s">
        <v>75</v>
      </c>
      <c r="U141" s="34" t="s">
        <v>35</v>
      </c>
      <c r="V141" s="34" t="s">
        <v>35</v>
      </c>
      <c r="W141" s="36"/>
      <c r="X141" s="35" t="s">
        <v>72</v>
      </c>
      <c r="Y141" s="34" t="s">
        <v>35</v>
      </c>
      <c r="Z141" s="34" t="s">
        <v>35</v>
      </c>
      <c r="AA141" s="36"/>
      <c r="AB141" s="88" t="s">
        <v>76</v>
      </c>
      <c r="AC141" s="34" t="s">
        <v>35</v>
      </c>
      <c r="AD141" s="34" t="s">
        <v>35</v>
      </c>
      <c r="AE141" s="34"/>
      <c r="AF141" s="88" t="s">
        <v>76</v>
      </c>
      <c r="AG141" s="34" t="s">
        <v>35</v>
      </c>
      <c r="AH141" s="34" t="s">
        <v>35</v>
      </c>
      <c r="AI141" s="36"/>
      <c r="AJ141" s="87" t="s">
        <v>75</v>
      </c>
      <c r="AK141" s="34" t="s">
        <v>35</v>
      </c>
      <c r="AL141" s="34" t="s">
        <v>35</v>
      </c>
      <c r="AM141" s="36"/>
      <c r="AN141" s="35"/>
      <c r="AO141" s="34"/>
      <c r="AP141" s="34"/>
      <c r="AQ141" s="36"/>
      <c r="AR141" s="88" t="s">
        <v>76</v>
      </c>
      <c r="AS141" s="34" t="s">
        <v>35</v>
      </c>
      <c r="AT141" s="34" t="s">
        <v>35</v>
      </c>
      <c r="AU141" s="36"/>
      <c r="AV141" s="35"/>
      <c r="AW141" s="34"/>
      <c r="AX141" s="34"/>
      <c r="AY141" s="36"/>
      <c r="BB141" s="12">
        <f>D141</f>
        <v>0</v>
      </c>
      <c r="BC141" s="13">
        <f>H141</f>
        <v>0</v>
      </c>
      <c r="BD141" s="13" t="str">
        <f>L141</f>
        <v>B9CA</v>
      </c>
      <c r="BE141" s="3">
        <f>P141</f>
        <v>0</v>
      </c>
      <c r="BF141" s="3" t="str">
        <f>T141</f>
        <v>C17E</v>
      </c>
      <c r="BG141" s="3" t="str">
        <f>X141</f>
        <v>298A</v>
      </c>
      <c r="BH141" s="3" t="str">
        <f>AB141</f>
        <v>BD5E</v>
      </c>
      <c r="BI141" s="3" t="str">
        <f>AF141</f>
        <v>BD5E</v>
      </c>
      <c r="BJ141" s="3" t="str">
        <f>AJ141</f>
        <v>C17E</v>
      </c>
      <c r="BK141" s="3">
        <f>AN141</f>
        <v>0</v>
      </c>
      <c r="BL141" s="3" t="str">
        <f>AR141</f>
        <v>BD5E</v>
      </c>
      <c r="BM141" s="4">
        <f>AV141</f>
        <v>0</v>
      </c>
    </row>
    <row r="142" spans="1:65" x14ac:dyDescent="0.25">
      <c r="D142" s="8"/>
      <c r="E142" s="39"/>
      <c r="F142" s="39"/>
      <c r="G142" s="40"/>
      <c r="H142" s="8"/>
      <c r="I142" s="39"/>
      <c r="J142" s="39"/>
      <c r="K142" s="40"/>
      <c r="L142" s="8"/>
      <c r="M142" s="39"/>
      <c r="N142" s="39"/>
      <c r="O142" s="40"/>
      <c r="P142" s="8"/>
      <c r="Q142" s="39"/>
      <c r="R142" s="39"/>
      <c r="S142" s="40"/>
      <c r="T142" s="8"/>
      <c r="U142" s="34"/>
      <c r="V142" s="34"/>
      <c r="W142" s="36"/>
      <c r="X142" s="35" t="s">
        <v>73</v>
      </c>
      <c r="Y142" s="34" t="s">
        <v>35</v>
      </c>
      <c r="Z142" s="34" t="s">
        <v>35</v>
      </c>
      <c r="AA142" s="36"/>
      <c r="AB142" s="35"/>
      <c r="AC142" s="34"/>
      <c r="AD142" s="34"/>
      <c r="AE142" s="34"/>
      <c r="AF142" s="35"/>
      <c r="AG142" s="34"/>
      <c r="AH142" s="34"/>
      <c r="AI142" s="36"/>
      <c r="AJ142" s="88" t="s">
        <v>76</v>
      </c>
      <c r="AK142" s="34" t="s">
        <v>35</v>
      </c>
      <c r="AL142" s="34" t="s">
        <v>35</v>
      </c>
      <c r="AM142" s="36"/>
      <c r="AN142" s="35"/>
      <c r="AO142" s="34"/>
      <c r="AP142" s="34"/>
      <c r="AQ142" s="36"/>
      <c r="AR142" s="89" t="s">
        <v>77</v>
      </c>
      <c r="AS142" s="34" t="s">
        <v>35</v>
      </c>
      <c r="AT142" s="34" t="s">
        <v>35</v>
      </c>
      <c r="AU142" s="36"/>
      <c r="AV142" s="35"/>
      <c r="AW142" s="34"/>
      <c r="AX142" s="34"/>
      <c r="AY142" s="36"/>
      <c r="BB142" s="12">
        <f>D142</f>
        <v>0</v>
      </c>
      <c r="BC142" s="13">
        <f>H142</f>
        <v>0</v>
      </c>
      <c r="BD142" s="13">
        <f>L142</f>
        <v>0</v>
      </c>
      <c r="BE142" s="3">
        <f>P142</f>
        <v>0</v>
      </c>
      <c r="BF142" s="3">
        <f>T142</f>
        <v>0</v>
      </c>
      <c r="BG142" s="3" t="str">
        <f>X142</f>
        <v>25BE</v>
      </c>
      <c r="BH142" s="3">
        <f>AB142</f>
        <v>0</v>
      </c>
      <c r="BI142" s="3">
        <f>AF142</f>
        <v>0</v>
      </c>
      <c r="BJ142" s="3" t="str">
        <f>AJ142</f>
        <v>BD5E</v>
      </c>
      <c r="BK142" s="3">
        <f>AN142</f>
        <v>0</v>
      </c>
      <c r="BL142" s="3" t="str">
        <f>AR142</f>
        <v>211E</v>
      </c>
      <c r="BM142" s="4">
        <f>AV142</f>
        <v>0</v>
      </c>
    </row>
    <row r="143" spans="1:65" x14ac:dyDescent="0.25">
      <c r="D143" s="66"/>
      <c r="E143" s="67"/>
      <c r="F143" s="67"/>
      <c r="G143" s="68"/>
      <c r="H143" s="35"/>
      <c r="I143" s="39"/>
      <c r="J143" s="39"/>
      <c r="K143" s="68"/>
      <c r="L143" s="35"/>
      <c r="M143" s="39"/>
      <c r="N143" s="39"/>
      <c r="O143" s="68"/>
      <c r="P143" s="8"/>
      <c r="Q143" s="39"/>
      <c r="R143" s="39"/>
      <c r="S143" s="68"/>
      <c r="T143" s="35"/>
      <c r="U143" s="34"/>
      <c r="V143" s="34"/>
      <c r="W143" s="36"/>
      <c r="X143" s="35" t="s">
        <v>74</v>
      </c>
      <c r="Y143" s="34" t="s">
        <v>35</v>
      </c>
      <c r="Z143" s="34" t="s">
        <v>35</v>
      </c>
      <c r="AA143" s="36"/>
      <c r="AB143" s="35"/>
      <c r="AC143" s="34"/>
      <c r="AD143" s="34"/>
      <c r="AE143" s="34"/>
      <c r="AF143" s="35"/>
      <c r="AG143" s="34"/>
      <c r="AH143" s="34"/>
      <c r="AI143" s="36"/>
      <c r="AJ143" s="89" t="s">
        <v>77</v>
      </c>
      <c r="AK143" s="34" t="s">
        <v>35</v>
      </c>
      <c r="AL143" s="34" t="s">
        <v>35</v>
      </c>
      <c r="AM143" s="36"/>
      <c r="AN143" s="35"/>
      <c r="AO143" s="34"/>
      <c r="AP143" s="34"/>
      <c r="AQ143" s="36"/>
      <c r="AR143" s="35"/>
      <c r="AS143" s="34"/>
      <c r="AT143" s="34"/>
      <c r="AU143" s="36"/>
      <c r="AV143" s="35"/>
      <c r="AW143" s="34"/>
      <c r="AX143" s="34"/>
      <c r="AY143" s="36"/>
      <c r="BB143" s="12">
        <f>D143</f>
        <v>0</v>
      </c>
      <c r="BC143" s="13">
        <f>H143</f>
        <v>0</v>
      </c>
      <c r="BD143" s="13">
        <f>L143</f>
        <v>0</v>
      </c>
      <c r="BE143" s="3">
        <f>P143</f>
        <v>0</v>
      </c>
      <c r="BF143" s="3">
        <f>T143</f>
        <v>0</v>
      </c>
      <c r="BG143" s="3" t="str">
        <f>X143</f>
        <v>B9CA</v>
      </c>
      <c r="BH143" s="3">
        <f>AB143</f>
        <v>0</v>
      </c>
      <c r="BI143" s="3">
        <f>AF143</f>
        <v>0</v>
      </c>
      <c r="BJ143" s="3" t="str">
        <f>AJ143</f>
        <v>211E</v>
      </c>
      <c r="BK143" s="3">
        <f>AN143</f>
        <v>0</v>
      </c>
      <c r="BL143" s="3">
        <f>AR143</f>
        <v>0</v>
      </c>
      <c r="BM143" s="4">
        <f>AV143</f>
        <v>0</v>
      </c>
    </row>
    <row r="144" spans="1:65" x14ac:dyDescent="0.25">
      <c r="D144" s="66"/>
      <c r="E144" s="67"/>
      <c r="F144" s="67"/>
      <c r="G144" s="68"/>
      <c r="H144" s="66"/>
      <c r="I144" s="67"/>
      <c r="J144" s="67"/>
      <c r="K144" s="68"/>
      <c r="L144" s="35"/>
      <c r="M144" s="39"/>
      <c r="N144" s="39"/>
      <c r="O144" s="68"/>
      <c r="P144" s="35"/>
      <c r="Q144" s="39"/>
      <c r="R144" s="39"/>
      <c r="S144" s="68"/>
      <c r="T144" s="35"/>
      <c r="U144" s="34"/>
      <c r="V144" s="34"/>
      <c r="W144" s="36"/>
      <c r="X144" s="87" t="s">
        <v>75</v>
      </c>
      <c r="Y144" s="34" t="s">
        <v>35</v>
      </c>
      <c r="Z144" s="34" t="s">
        <v>35</v>
      </c>
      <c r="AA144" s="36"/>
      <c r="AB144" s="35"/>
      <c r="AC144" s="34"/>
      <c r="AD144" s="34"/>
      <c r="AE144" s="34"/>
      <c r="AF144" s="35"/>
      <c r="AG144" s="34"/>
      <c r="AH144" s="34"/>
      <c r="AI144" s="36"/>
      <c r="AJ144" s="35"/>
      <c r="AK144" s="34"/>
      <c r="AL144" s="34"/>
      <c r="AM144" s="36"/>
      <c r="AN144" s="35"/>
      <c r="AO144" s="34"/>
      <c r="AP144" s="34"/>
      <c r="AQ144" s="36"/>
      <c r="AR144" s="35"/>
      <c r="AS144" s="34"/>
      <c r="AT144" s="34"/>
      <c r="AU144" s="36"/>
      <c r="AV144" s="35"/>
      <c r="AW144" s="34"/>
      <c r="AX144" s="34"/>
      <c r="AY144" s="36"/>
      <c r="BB144" s="12">
        <f>D144</f>
        <v>0</v>
      </c>
      <c r="BC144" s="13">
        <f>H144</f>
        <v>0</v>
      </c>
      <c r="BD144" s="13">
        <f>L144</f>
        <v>0</v>
      </c>
      <c r="BE144" s="3">
        <f>P144</f>
        <v>0</v>
      </c>
      <c r="BF144" s="3">
        <f>T144</f>
        <v>0</v>
      </c>
      <c r="BG144" s="3" t="str">
        <f>X144</f>
        <v>C17E</v>
      </c>
      <c r="BH144" s="3">
        <f>AB144</f>
        <v>0</v>
      </c>
      <c r="BI144" s="3">
        <f>AF144</f>
        <v>0</v>
      </c>
      <c r="BJ144" s="3">
        <f>AJ144</f>
        <v>0</v>
      </c>
      <c r="BK144" s="3">
        <f>AN144</f>
        <v>0</v>
      </c>
      <c r="BL144" s="3">
        <f>AR144</f>
        <v>0</v>
      </c>
      <c r="BM144" s="4">
        <f>AV144</f>
        <v>0</v>
      </c>
    </row>
    <row r="145" spans="4:65" x14ac:dyDescent="0.25">
      <c r="D145" s="66"/>
      <c r="E145" s="67"/>
      <c r="F145" s="67"/>
      <c r="G145" s="68"/>
      <c r="H145" s="66"/>
      <c r="I145" s="67"/>
      <c r="J145" s="67"/>
      <c r="K145" s="68"/>
      <c r="L145" s="35"/>
      <c r="M145" s="39"/>
      <c r="N145" s="39"/>
      <c r="O145" s="68"/>
      <c r="P145" s="35"/>
      <c r="Q145" s="39"/>
      <c r="R145" s="39"/>
      <c r="S145" s="68"/>
      <c r="T145" s="35"/>
      <c r="U145" s="34"/>
      <c r="V145" s="34"/>
      <c r="W145" s="36"/>
      <c r="X145" s="88" t="s">
        <v>76</v>
      </c>
      <c r="Y145" s="34" t="s">
        <v>35</v>
      </c>
      <c r="Z145" s="34" t="s">
        <v>35</v>
      </c>
      <c r="AA145" s="36"/>
      <c r="AB145" s="35"/>
      <c r="AC145" s="34"/>
      <c r="AD145" s="34"/>
      <c r="AE145" s="34"/>
      <c r="AF145" s="35"/>
      <c r="AG145" s="34"/>
      <c r="AH145" s="34"/>
      <c r="AI145" s="36"/>
      <c r="AJ145" s="35"/>
      <c r="AK145" s="34"/>
      <c r="AL145" s="34"/>
      <c r="AM145" s="36"/>
      <c r="AN145" s="35"/>
      <c r="AO145" s="34"/>
      <c r="AP145" s="34"/>
      <c r="AQ145" s="36"/>
      <c r="AR145" s="35"/>
      <c r="AS145" s="34"/>
      <c r="AT145" s="34"/>
      <c r="AU145" s="36"/>
      <c r="AV145" s="35"/>
      <c r="AW145" s="34"/>
      <c r="AX145" s="34"/>
      <c r="AY145" s="36"/>
      <c r="BB145" s="12">
        <f>D145</f>
        <v>0</v>
      </c>
      <c r="BC145" s="13">
        <f>H145</f>
        <v>0</v>
      </c>
      <c r="BD145" s="13">
        <f>L145</f>
        <v>0</v>
      </c>
      <c r="BE145" s="3">
        <f>P145</f>
        <v>0</v>
      </c>
      <c r="BF145" s="3">
        <f>T145</f>
        <v>0</v>
      </c>
      <c r="BG145" s="3" t="str">
        <f>X145</f>
        <v>BD5E</v>
      </c>
      <c r="BH145" s="3">
        <f>AB145</f>
        <v>0</v>
      </c>
      <c r="BI145" s="3">
        <f>AF145</f>
        <v>0</v>
      </c>
      <c r="BJ145" s="3">
        <f>AJ145</f>
        <v>0</v>
      </c>
      <c r="BK145" s="3">
        <f>AN145</f>
        <v>0</v>
      </c>
      <c r="BL145" s="3">
        <f>AR145</f>
        <v>0</v>
      </c>
      <c r="BM145" s="4">
        <f>AV145</f>
        <v>0</v>
      </c>
    </row>
    <row r="146" spans="4:65" x14ac:dyDescent="0.25">
      <c r="D146" s="66"/>
      <c r="E146" s="67"/>
      <c r="F146" s="67"/>
      <c r="G146" s="68"/>
      <c r="H146" s="66"/>
      <c r="I146" s="67"/>
      <c r="J146" s="67"/>
      <c r="K146" s="68"/>
      <c r="L146" s="35"/>
      <c r="M146" s="39"/>
      <c r="N146" s="39"/>
      <c r="O146" s="68"/>
      <c r="P146" s="35"/>
      <c r="Q146" s="39"/>
      <c r="R146" s="39"/>
      <c r="S146" s="68"/>
      <c r="T146" s="66"/>
      <c r="U146" s="34"/>
      <c r="V146" s="34"/>
      <c r="W146" s="36"/>
      <c r="X146" s="35"/>
      <c r="Y146" s="34"/>
      <c r="Z146" s="34"/>
      <c r="AA146" s="36"/>
      <c r="AB146" s="35"/>
      <c r="AC146" s="34"/>
      <c r="AD146" s="34"/>
      <c r="AE146" s="34"/>
      <c r="AF146" s="35"/>
      <c r="AG146" s="34"/>
      <c r="AH146" s="34"/>
      <c r="AI146" s="36"/>
      <c r="AJ146" s="35"/>
      <c r="AK146" s="34"/>
      <c r="AL146" s="34"/>
      <c r="AM146" s="36"/>
      <c r="AN146" s="35"/>
      <c r="AO146" s="34"/>
      <c r="AP146" s="34"/>
      <c r="AQ146" s="36"/>
      <c r="AR146" s="35"/>
      <c r="AS146" s="34"/>
      <c r="AT146" s="34"/>
      <c r="AU146" s="36"/>
      <c r="AV146" s="35"/>
      <c r="AW146" s="34"/>
      <c r="AX146" s="34"/>
      <c r="AY146" s="36"/>
      <c r="BB146" s="12">
        <f>D146</f>
        <v>0</v>
      </c>
      <c r="BC146" s="13">
        <f>H146</f>
        <v>0</v>
      </c>
      <c r="BD146" s="13">
        <f>L146</f>
        <v>0</v>
      </c>
      <c r="BE146" s="3">
        <f>P146</f>
        <v>0</v>
      </c>
      <c r="BF146" s="3">
        <f>T146</f>
        <v>0</v>
      </c>
      <c r="BG146" s="3">
        <f>X146</f>
        <v>0</v>
      </c>
      <c r="BH146" s="3">
        <f>AB146</f>
        <v>0</v>
      </c>
      <c r="BI146" s="3">
        <f>AF146</f>
        <v>0</v>
      </c>
      <c r="BJ146" s="3">
        <f>AJ146</f>
        <v>0</v>
      </c>
      <c r="BK146" s="3">
        <f>AN146</f>
        <v>0</v>
      </c>
      <c r="BL146" s="3">
        <f>AR146</f>
        <v>0</v>
      </c>
      <c r="BM146" s="4">
        <f>AV146</f>
        <v>0</v>
      </c>
    </row>
    <row r="147" spans="4:65" x14ac:dyDescent="0.25">
      <c r="D147" s="66"/>
      <c r="E147" s="67"/>
      <c r="F147" s="67"/>
      <c r="G147" s="68"/>
      <c r="H147" s="66"/>
      <c r="I147" s="67"/>
      <c r="J147" s="67"/>
      <c r="K147" s="68"/>
      <c r="L147" s="35"/>
      <c r="M147" s="39"/>
      <c r="N147" s="39"/>
      <c r="O147" s="68"/>
      <c r="P147" s="35"/>
      <c r="Q147" s="39"/>
      <c r="R147" s="39"/>
      <c r="S147" s="68"/>
      <c r="T147" s="66"/>
      <c r="U147" s="34"/>
      <c r="V147" s="34"/>
      <c r="W147" s="36"/>
      <c r="X147" s="35"/>
      <c r="Y147" s="34"/>
      <c r="Z147" s="34"/>
      <c r="AA147" s="36"/>
      <c r="AB147" s="35"/>
      <c r="AC147" s="34"/>
      <c r="AD147" s="34"/>
      <c r="AE147" s="34"/>
      <c r="AF147" s="35"/>
      <c r="AG147" s="34"/>
      <c r="AH147" s="34"/>
      <c r="AI147" s="36"/>
      <c r="AJ147" s="35"/>
      <c r="AK147" s="34"/>
      <c r="AL147" s="34"/>
      <c r="AM147" s="36"/>
      <c r="AN147" s="35"/>
      <c r="AO147" s="34"/>
      <c r="AP147" s="34"/>
      <c r="AQ147" s="36"/>
      <c r="AR147" s="35"/>
      <c r="AS147" s="34"/>
      <c r="AT147" s="34"/>
      <c r="AU147" s="36"/>
      <c r="AV147" s="35"/>
      <c r="AW147" s="34"/>
      <c r="AX147" s="34"/>
      <c r="AY147" s="36"/>
      <c r="BB147" s="12">
        <f>D147</f>
        <v>0</v>
      </c>
      <c r="BC147" s="13">
        <f>H147</f>
        <v>0</v>
      </c>
      <c r="BD147" s="13">
        <f>L147</f>
        <v>0</v>
      </c>
      <c r="BE147" s="3">
        <f>P147</f>
        <v>0</v>
      </c>
      <c r="BF147" s="3">
        <f>T147</f>
        <v>0</v>
      </c>
      <c r="BG147" s="3">
        <f>X147</f>
        <v>0</v>
      </c>
      <c r="BH147" s="3">
        <f>AB147</f>
        <v>0</v>
      </c>
      <c r="BI147" s="3">
        <f>AF147</f>
        <v>0</v>
      </c>
      <c r="BJ147" s="3">
        <f>AJ147</f>
        <v>0</v>
      </c>
      <c r="BK147" s="3">
        <f>AN147</f>
        <v>0</v>
      </c>
      <c r="BL147" s="3">
        <f>AR147</f>
        <v>0</v>
      </c>
      <c r="BM147" s="4">
        <f>AV147</f>
        <v>0</v>
      </c>
    </row>
    <row r="148" spans="4:65" x14ac:dyDescent="0.25">
      <c r="D148" s="66"/>
      <c r="E148" s="67"/>
      <c r="F148" s="67"/>
      <c r="G148" s="68"/>
      <c r="H148" s="66"/>
      <c r="I148" s="67"/>
      <c r="J148" s="67"/>
      <c r="K148" s="68"/>
      <c r="L148" s="35"/>
      <c r="M148" s="39"/>
      <c r="N148" s="39"/>
      <c r="O148" s="68"/>
      <c r="P148" s="35"/>
      <c r="Q148" s="39"/>
      <c r="R148" s="39"/>
      <c r="S148" s="68"/>
      <c r="T148" s="66"/>
      <c r="U148" s="34"/>
      <c r="V148" s="34"/>
      <c r="W148" s="36"/>
      <c r="X148" s="35"/>
      <c r="Y148" s="34"/>
      <c r="Z148" s="34"/>
      <c r="AA148" s="36"/>
      <c r="AB148" s="35"/>
      <c r="AC148" s="34"/>
      <c r="AD148" s="34"/>
      <c r="AE148" s="34"/>
      <c r="AF148" s="35"/>
      <c r="AG148" s="34"/>
      <c r="AH148" s="34"/>
      <c r="AI148" s="36"/>
      <c r="AJ148" s="35"/>
      <c r="AK148" s="34"/>
      <c r="AL148" s="34"/>
      <c r="AM148" s="36"/>
      <c r="AN148" s="35"/>
      <c r="AO148" s="34"/>
      <c r="AP148" s="34"/>
      <c r="AQ148" s="36"/>
      <c r="AR148" s="35"/>
      <c r="AS148" s="34"/>
      <c r="AT148" s="34"/>
      <c r="AU148" s="36"/>
      <c r="AV148" s="35"/>
      <c r="AW148" s="34"/>
      <c r="AX148" s="34"/>
      <c r="AY148" s="36"/>
      <c r="BB148" s="12">
        <f>D148</f>
        <v>0</v>
      </c>
      <c r="BC148" s="13">
        <f>H148</f>
        <v>0</v>
      </c>
      <c r="BD148" s="13">
        <f>L148</f>
        <v>0</v>
      </c>
      <c r="BE148" s="3">
        <f>P148</f>
        <v>0</v>
      </c>
      <c r="BF148" s="3">
        <f>T148</f>
        <v>0</v>
      </c>
      <c r="BG148" s="3">
        <f>X148</f>
        <v>0</v>
      </c>
      <c r="BH148" s="3">
        <f>AB148</f>
        <v>0</v>
      </c>
      <c r="BI148" s="3">
        <f>AF148</f>
        <v>0</v>
      </c>
      <c r="BJ148" s="3">
        <f>AJ148</f>
        <v>0</v>
      </c>
      <c r="BK148" s="3">
        <f>AN148</f>
        <v>0</v>
      </c>
      <c r="BL148" s="3">
        <f>AR148</f>
        <v>0</v>
      </c>
      <c r="BM148" s="4">
        <f>AV148</f>
        <v>0</v>
      </c>
    </row>
    <row r="149" spans="4:65" x14ac:dyDescent="0.25">
      <c r="D149" s="66"/>
      <c r="E149" s="67"/>
      <c r="F149" s="67"/>
      <c r="G149" s="68"/>
      <c r="H149" s="66"/>
      <c r="I149" s="67"/>
      <c r="J149" s="67"/>
      <c r="K149" s="68"/>
      <c r="L149" s="66"/>
      <c r="M149" s="67"/>
      <c r="N149" s="67"/>
      <c r="O149" s="68"/>
      <c r="P149" s="66"/>
      <c r="Q149" s="67"/>
      <c r="R149" s="67"/>
      <c r="S149" s="68"/>
      <c r="T149" s="66"/>
      <c r="U149" s="67"/>
      <c r="V149" s="67"/>
      <c r="W149" s="68"/>
      <c r="X149" s="66"/>
      <c r="Y149" s="67"/>
      <c r="Z149" s="67"/>
      <c r="AA149" s="68"/>
      <c r="AB149" s="35"/>
      <c r="AC149" s="34"/>
      <c r="AD149" s="34"/>
      <c r="AE149" s="67"/>
      <c r="AF149" s="35"/>
      <c r="AG149" s="34"/>
      <c r="AH149" s="34"/>
      <c r="AI149" s="69"/>
      <c r="AJ149" s="35"/>
      <c r="AK149" s="34"/>
      <c r="AL149" s="34"/>
      <c r="AM149" s="68"/>
      <c r="AN149" s="66"/>
      <c r="AO149" s="67"/>
      <c r="AP149" s="67"/>
      <c r="AQ149" s="68"/>
      <c r="AR149" s="35"/>
      <c r="AS149" s="34"/>
      <c r="AT149" s="34"/>
      <c r="AU149" s="68"/>
      <c r="AV149" s="66"/>
      <c r="AW149" s="67"/>
      <c r="AX149" s="67"/>
      <c r="AY149" s="68"/>
      <c r="BB149" s="12">
        <f>D149</f>
        <v>0</v>
      </c>
      <c r="BC149" s="13">
        <f>H149</f>
        <v>0</v>
      </c>
      <c r="BD149" s="13">
        <f>L149</f>
        <v>0</v>
      </c>
      <c r="BE149" s="3">
        <f>P149</f>
        <v>0</v>
      </c>
      <c r="BF149" s="3">
        <f>T149</f>
        <v>0</v>
      </c>
      <c r="BG149" s="3">
        <f>X149</f>
        <v>0</v>
      </c>
      <c r="BH149" s="3">
        <f>AB149</f>
        <v>0</v>
      </c>
      <c r="BI149" s="3">
        <f>AF149</f>
        <v>0</v>
      </c>
      <c r="BJ149" s="3">
        <f>AJ149</f>
        <v>0</v>
      </c>
      <c r="BK149" s="3">
        <f>AN149</f>
        <v>0</v>
      </c>
      <c r="BL149" s="3">
        <f>AR149</f>
        <v>0</v>
      </c>
      <c r="BM149" s="4">
        <f>AV149</f>
        <v>0</v>
      </c>
    </row>
    <row r="150" spans="4:65" x14ac:dyDescent="0.25">
      <c r="D150" s="66"/>
      <c r="E150" s="67"/>
      <c r="F150" s="67"/>
      <c r="G150" s="68"/>
      <c r="H150" s="66"/>
      <c r="I150" s="67"/>
      <c r="J150" s="67"/>
      <c r="K150" s="68"/>
      <c r="L150" s="66"/>
      <c r="M150" s="67"/>
      <c r="N150" s="67"/>
      <c r="O150" s="68"/>
      <c r="P150" s="66"/>
      <c r="Q150" s="67"/>
      <c r="R150" s="67"/>
      <c r="S150" s="68"/>
      <c r="T150" s="66"/>
      <c r="U150" s="67"/>
      <c r="V150" s="67"/>
      <c r="W150" s="68"/>
      <c r="X150" s="66"/>
      <c r="Y150" s="67"/>
      <c r="Z150" s="67"/>
      <c r="AA150" s="68"/>
      <c r="AB150" s="35"/>
      <c r="AC150" s="34"/>
      <c r="AD150" s="34"/>
      <c r="AE150" s="67"/>
      <c r="AF150" s="35"/>
      <c r="AG150" s="34"/>
      <c r="AH150" s="34"/>
      <c r="AI150" s="69"/>
      <c r="AJ150" s="35"/>
      <c r="AK150" s="34"/>
      <c r="AL150" s="34"/>
      <c r="AM150" s="68"/>
      <c r="AN150" s="66"/>
      <c r="AO150" s="67"/>
      <c r="AP150" s="67"/>
      <c r="AQ150" s="68"/>
      <c r="AR150" s="66"/>
      <c r="AS150" s="67"/>
      <c r="AT150" s="67"/>
      <c r="AU150" s="68"/>
      <c r="AV150" s="66"/>
      <c r="AW150" s="67"/>
      <c r="AX150" s="67"/>
      <c r="AY150" s="68"/>
      <c r="BB150" s="12">
        <f>D150</f>
        <v>0</v>
      </c>
      <c r="BC150" s="13">
        <f>H150</f>
        <v>0</v>
      </c>
      <c r="BD150" s="13">
        <f>L150</f>
        <v>0</v>
      </c>
      <c r="BE150" s="3">
        <f>P150</f>
        <v>0</v>
      </c>
      <c r="BF150" s="3">
        <f>T150</f>
        <v>0</v>
      </c>
      <c r="BG150" s="3">
        <f>X150</f>
        <v>0</v>
      </c>
      <c r="BH150" s="3">
        <f>AB150</f>
        <v>0</v>
      </c>
      <c r="BI150" s="3">
        <f>AF150</f>
        <v>0</v>
      </c>
      <c r="BJ150" s="3">
        <f>AJ150</f>
        <v>0</v>
      </c>
      <c r="BK150" s="3">
        <f>AN150</f>
        <v>0</v>
      </c>
      <c r="BL150" s="3">
        <f>AR150</f>
        <v>0</v>
      </c>
      <c r="BM150" s="4">
        <f>AV150</f>
        <v>0</v>
      </c>
    </row>
    <row r="151" spans="4:65" x14ac:dyDescent="0.25">
      <c r="D151" s="66"/>
      <c r="E151" s="67"/>
      <c r="F151" s="67"/>
      <c r="G151" s="68"/>
      <c r="H151" s="66"/>
      <c r="I151" s="67"/>
      <c r="J151" s="67"/>
      <c r="K151" s="68"/>
      <c r="L151" s="66"/>
      <c r="M151" s="67"/>
      <c r="N151" s="67"/>
      <c r="O151" s="68"/>
      <c r="P151" s="66"/>
      <c r="Q151" s="67"/>
      <c r="R151" s="67"/>
      <c r="S151" s="68"/>
      <c r="T151" s="66"/>
      <c r="U151" s="67"/>
      <c r="V151" s="67"/>
      <c r="W151" s="68"/>
      <c r="X151" s="66"/>
      <c r="Y151" s="67"/>
      <c r="Z151" s="67"/>
      <c r="AA151" s="68"/>
      <c r="AB151" s="35"/>
      <c r="AC151" s="34"/>
      <c r="AD151" s="34"/>
      <c r="AE151" s="67"/>
      <c r="AF151" s="35"/>
      <c r="AG151" s="34"/>
      <c r="AH151" s="34"/>
      <c r="AI151" s="69"/>
      <c r="AJ151" s="66"/>
      <c r="AK151" s="67"/>
      <c r="AL151" s="67"/>
      <c r="AM151" s="68"/>
      <c r="AN151" s="66"/>
      <c r="AO151" s="67"/>
      <c r="AP151" s="67"/>
      <c r="AQ151" s="68"/>
      <c r="AR151" s="66"/>
      <c r="AS151" s="67"/>
      <c r="AT151" s="67"/>
      <c r="AU151" s="68"/>
      <c r="AV151" s="66"/>
      <c r="AW151" s="67"/>
      <c r="AX151" s="67"/>
      <c r="AY151" s="68"/>
      <c r="BB151" s="151">
        <f>D151</f>
        <v>0</v>
      </c>
      <c r="BC151" s="152">
        <f>H151</f>
        <v>0</v>
      </c>
      <c r="BD151" s="152">
        <f>L151</f>
        <v>0</v>
      </c>
      <c r="BE151" s="6">
        <f>P151</f>
        <v>0</v>
      </c>
      <c r="BF151" s="6">
        <f>T151</f>
        <v>0</v>
      </c>
      <c r="BG151" s="6">
        <f>X151</f>
        <v>0</v>
      </c>
      <c r="BH151" s="6">
        <f>AB151</f>
        <v>0</v>
      </c>
      <c r="BI151" s="6">
        <f>AF151</f>
        <v>0</v>
      </c>
      <c r="BJ151" s="6">
        <f>AJ151</f>
        <v>0</v>
      </c>
      <c r="BK151" s="6">
        <f>AN151</f>
        <v>0</v>
      </c>
      <c r="BL151" s="6">
        <f>AR151</f>
        <v>0</v>
      </c>
      <c r="BM151" s="7">
        <f>AV151</f>
        <v>0</v>
      </c>
    </row>
    <row r="152" spans="4:65" x14ac:dyDescent="0.25">
      <c r="D152" s="66"/>
      <c r="E152" s="67"/>
      <c r="F152" s="67"/>
      <c r="G152" s="68"/>
      <c r="H152" s="66"/>
      <c r="I152" s="67"/>
      <c r="J152" s="67"/>
      <c r="K152" s="68"/>
      <c r="L152" s="66"/>
      <c r="M152" s="67"/>
      <c r="N152" s="67"/>
      <c r="O152" s="68"/>
      <c r="P152" s="66"/>
      <c r="Q152" s="67"/>
      <c r="R152" s="67"/>
      <c r="S152" s="68"/>
      <c r="T152" s="66"/>
      <c r="U152" s="67"/>
      <c r="V152" s="67"/>
      <c r="W152" s="68"/>
      <c r="X152" s="66"/>
      <c r="Y152" s="67"/>
      <c r="Z152" s="67"/>
      <c r="AA152" s="68"/>
      <c r="AB152" s="35"/>
      <c r="AC152" s="34"/>
      <c r="AD152" s="34"/>
      <c r="AE152" s="67"/>
      <c r="AF152" s="35"/>
      <c r="AG152" s="34"/>
      <c r="AH152" s="34"/>
      <c r="AI152" s="69"/>
      <c r="AJ152" s="66"/>
      <c r="AK152" s="67"/>
      <c r="AL152" s="67"/>
      <c r="AM152" s="68"/>
      <c r="AN152" s="66"/>
      <c r="AO152" s="67"/>
      <c r="AP152" s="67"/>
      <c r="AQ152" s="68"/>
      <c r="AR152" s="66"/>
      <c r="AS152" s="67"/>
      <c r="AT152" s="67"/>
      <c r="AU152" s="68"/>
      <c r="AV152" s="66"/>
      <c r="AW152" s="67"/>
      <c r="AX152" s="67"/>
      <c r="AY152" s="68"/>
      <c r="BB152" s="151">
        <f t="shared" ref="BB152:BB158" si="53">D152</f>
        <v>0</v>
      </c>
      <c r="BC152" s="152">
        <f t="shared" ref="BC152:BC158" si="54">H152</f>
        <v>0</v>
      </c>
      <c r="BD152" s="152">
        <f t="shared" ref="BD152:BD154" si="55">L152</f>
        <v>0</v>
      </c>
      <c r="BE152" s="6">
        <f t="shared" ref="BE152:BE154" si="56">P152</f>
        <v>0</v>
      </c>
      <c r="BF152" s="6">
        <f t="shared" ref="BF152:BF154" si="57">T152</f>
        <v>0</v>
      </c>
      <c r="BG152" s="6">
        <f t="shared" ref="BG152:BG154" si="58">X152</f>
        <v>0</v>
      </c>
      <c r="BH152" s="6">
        <f t="shared" ref="BH152:BH154" si="59">AB152</f>
        <v>0</v>
      </c>
      <c r="BI152" s="6">
        <f t="shared" ref="BI152:BI154" si="60">AF152</f>
        <v>0</v>
      </c>
      <c r="BJ152" s="6">
        <f t="shared" ref="BJ152:BJ154" si="61">AJ152</f>
        <v>0</v>
      </c>
      <c r="BK152" s="6">
        <f t="shared" ref="BK152:BK154" si="62">AN152</f>
        <v>0</v>
      </c>
      <c r="BL152" s="6">
        <f t="shared" ref="BL152:BL154" si="63">AR152</f>
        <v>0</v>
      </c>
      <c r="BM152" s="7">
        <f t="shared" ref="BM152:BM154" si="64">AV152</f>
        <v>0</v>
      </c>
    </row>
    <row r="153" spans="4:65" x14ac:dyDescent="0.25">
      <c r="D153" s="66"/>
      <c r="E153" s="67"/>
      <c r="F153" s="67"/>
      <c r="G153" s="68"/>
      <c r="H153" s="66"/>
      <c r="I153" s="67"/>
      <c r="J153" s="67"/>
      <c r="K153" s="68"/>
      <c r="L153" s="66"/>
      <c r="M153" s="67"/>
      <c r="N153" s="67"/>
      <c r="O153" s="68"/>
      <c r="P153" s="66"/>
      <c r="Q153" s="67"/>
      <c r="R153" s="67"/>
      <c r="S153" s="68"/>
      <c r="T153" s="66"/>
      <c r="U153" s="67"/>
      <c r="V153" s="67"/>
      <c r="W153" s="68"/>
      <c r="X153" s="66"/>
      <c r="Y153" s="67"/>
      <c r="Z153" s="67"/>
      <c r="AA153" s="68"/>
      <c r="AB153" s="35"/>
      <c r="AC153" s="34"/>
      <c r="AD153" s="34"/>
      <c r="AE153" s="67"/>
      <c r="AF153" s="8"/>
      <c r="AG153" s="34"/>
      <c r="AH153" s="34"/>
      <c r="AI153" s="68"/>
      <c r="AJ153" s="66"/>
      <c r="AK153" s="67"/>
      <c r="AL153" s="67"/>
      <c r="AM153" s="68"/>
      <c r="AN153" s="66"/>
      <c r="AO153" s="67"/>
      <c r="AP153" s="67"/>
      <c r="AQ153" s="68"/>
      <c r="AR153" s="66"/>
      <c r="AS153" s="67"/>
      <c r="AT153" s="67"/>
      <c r="AU153" s="68"/>
      <c r="AV153" s="66"/>
      <c r="AW153" s="67"/>
      <c r="AX153" s="67"/>
      <c r="AY153" s="68"/>
      <c r="BB153" s="151">
        <f t="shared" si="53"/>
        <v>0</v>
      </c>
      <c r="BC153" s="152">
        <f t="shared" si="54"/>
        <v>0</v>
      </c>
      <c r="BD153" s="152">
        <f t="shared" si="55"/>
        <v>0</v>
      </c>
      <c r="BE153" s="6">
        <f t="shared" si="56"/>
        <v>0</v>
      </c>
      <c r="BF153" s="6">
        <f t="shared" si="57"/>
        <v>0</v>
      </c>
      <c r="BG153" s="6">
        <f t="shared" si="58"/>
        <v>0</v>
      </c>
      <c r="BH153" s="6">
        <f t="shared" si="59"/>
        <v>0</v>
      </c>
      <c r="BI153" s="6">
        <f t="shared" si="60"/>
        <v>0</v>
      </c>
      <c r="BJ153" s="6">
        <f t="shared" si="61"/>
        <v>0</v>
      </c>
      <c r="BK153" s="6">
        <f t="shared" si="62"/>
        <v>0</v>
      </c>
      <c r="BL153" s="6">
        <f t="shared" si="63"/>
        <v>0</v>
      </c>
      <c r="BM153" s="7">
        <f t="shared" si="64"/>
        <v>0</v>
      </c>
    </row>
    <row r="154" spans="4:65" x14ac:dyDescent="0.25">
      <c r="D154" s="66"/>
      <c r="E154" s="67"/>
      <c r="F154" s="67"/>
      <c r="G154" s="68"/>
      <c r="H154" s="66"/>
      <c r="I154" s="67"/>
      <c r="J154" s="67"/>
      <c r="K154" s="68"/>
      <c r="L154" s="66"/>
      <c r="M154" s="67"/>
      <c r="N154" s="67"/>
      <c r="O154" s="68"/>
      <c r="P154" s="66"/>
      <c r="Q154" s="67"/>
      <c r="R154" s="67"/>
      <c r="S154" s="68"/>
      <c r="T154" s="66"/>
      <c r="U154" s="67"/>
      <c r="V154" s="67"/>
      <c r="W154" s="68"/>
      <c r="X154" s="66"/>
      <c r="Y154" s="67"/>
      <c r="Z154" s="67"/>
      <c r="AA154" s="68"/>
      <c r="AB154" s="35"/>
      <c r="AC154" s="34"/>
      <c r="AD154" s="34"/>
      <c r="AE154" s="67"/>
      <c r="AF154" s="66"/>
      <c r="AG154" s="67"/>
      <c r="AH154" s="67"/>
      <c r="AI154" s="68"/>
      <c r="AJ154" s="66"/>
      <c r="AK154" s="67"/>
      <c r="AL154" s="67"/>
      <c r="AM154" s="68"/>
      <c r="AN154" s="66"/>
      <c r="AO154" s="67"/>
      <c r="AP154" s="67"/>
      <c r="AQ154" s="68"/>
      <c r="AR154" s="66"/>
      <c r="AS154" s="67"/>
      <c r="AT154" s="67"/>
      <c r="AU154" s="68"/>
      <c r="AV154" s="66"/>
      <c r="AW154" s="67"/>
      <c r="AX154" s="67"/>
      <c r="AY154" s="68"/>
      <c r="BB154" s="151">
        <f t="shared" si="53"/>
        <v>0</v>
      </c>
      <c r="BC154" s="152">
        <f t="shared" si="54"/>
        <v>0</v>
      </c>
      <c r="BD154" s="152">
        <f t="shared" si="55"/>
        <v>0</v>
      </c>
      <c r="BE154" s="6">
        <f t="shared" si="56"/>
        <v>0</v>
      </c>
      <c r="BF154" s="6">
        <f t="shared" si="57"/>
        <v>0</v>
      </c>
      <c r="BG154" s="6">
        <f t="shared" si="58"/>
        <v>0</v>
      </c>
      <c r="BH154" s="6">
        <f t="shared" si="59"/>
        <v>0</v>
      </c>
      <c r="BI154" s="6">
        <f t="shared" si="60"/>
        <v>0</v>
      </c>
      <c r="BJ154" s="6">
        <f t="shared" si="61"/>
        <v>0</v>
      </c>
      <c r="BK154" s="6">
        <f t="shared" si="62"/>
        <v>0</v>
      </c>
      <c r="BL154" s="6">
        <f t="shared" si="63"/>
        <v>0</v>
      </c>
      <c r="BM154" s="7">
        <f t="shared" si="64"/>
        <v>0</v>
      </c>
    </row>
    <row r="155" spans="4:65" x14ac:dyDescent="0.25">
      <c r="D155" s="66"/>
      <c r="E155" s="67"/>
      <c r="F155" s="67"/>
      <c r="G155" s="68"/>
      <c r="H155" s="66"/>
      <c r="I155" s="67"/>
      <c r="J155" s="67"/>
      <c r="K155" s="68"/>
      <c r="L155" s="66"/>
      <c r="M155" s="67"/>
      <c r="N155" s="67"/>
      <c r="O155" s="68"/>
      <c r="P155" s="66"/>
      <c r="Q155" s="67"/>
      <c r="R155" s="67"/>
      <c r="S155" s="68"/>
      <c r="T155" s="66"/>
      <c r="U155" s="67"/>
      <c r="V155" s="67"/>
      <c r="W155" s="68"/>
      <c r="X155" s="66"/>
      <c r="Y155" s="67"/>
      <c r="Z155" s="67"/>
      <c r="AA155" s="68"/>
      <c r="AB155" s="35"/>
      <c r="AC155" s="34"/>
      <c r="AD155" s="34"/>
      <c r="AE155" s="67"/>
      <c r="AF155" s="66"/>
      <c r="AG155" s="67"/>
      <c r="AH155" s="67"/>
      <c r="AI155" s="68"/>
      <c r="AJ155" s="66"/>
      <c r="AK155" s="67"/>
      <c r="AL155" s="67"/>
      <c r="AM155" s="68"/>
      <c r="AN155" s="66"/>
      <c r="AO155" s="67"/>
      <c r="AP155" s="67"/>
      <c r="AQ155" s="68"/>
      <c r="AR155" s="66"/>
      <c r="AS155" s="67"/>
      <c r="AT155" s="67"/>
      <c r="AU155" s="68"/>
      <c r="AV155" s="66"/>
      <c r="AW155" s="67"/>
      <c r="AX155" s="67"/>
      <c r="AY155" s="68"/>
      <c r="BB155" s="151">
        <f t="shared" si="53"/>
        <v>0</v>
      </c>
      <c r="BC155" s="152">
        <f t="shared" si="54"/>
        <v>0</v>
      </c>
      <c r="BD155" s="152">
        <f>L155</f>
        <v>0</v>
      </c>
      <c r="BE155" s="6">
        <f>P155</f>
        <v>0</v>
      </c>
      <c r="BF155" s="6">
        <f>T155</f>
        <v>0</v>
      </c>
      <c r="BG155" s="6">
        <f>X155</f>
        <v>0</v>
      </c>
      <c r="BH155" s="6">
        <f>AB155</f>
        <v>0</v>
      </c>
      <c r="BI155" s="6">
        <f>AF155</f>
        <v>0</v>
      </c>
      <c r="BJ155" s="6">
        <f>AJ155</f>
        <v>0</v>
      </c>
      <c r="BK155" s="6">
        <f>AN155</f>
        <v>0</v>
      </c>
      <c r="BL155" s="6">
        <f>AR155</f>
        <v>0</v>
      </c>
      <c r="BM155" s="7">
        <f>AV155</f>
        <v>0</v>
      </c>
    </row>
    <row r="156" spans="4:65" x14ac:dyDescent="0.25">
      <c r="D156" s="66"/>
      <c r="E156" s="67"/>
      <c r="F156" s="67"/>
      <c r="G156" s="68"/>
      <c r="H156" s="66"/>
      <c r="I156" s="67"/>
      <c r="J156" s="67"/>
      <c r="K156" s="68"/>
      <c r="L156" s="66"/>
      <c r="M156" s="67"/>
      <c r="N156" s="67"/>
      <c r="O156" s="68"/>
      <c r="P156" s="66"/>
      <c r="Q156" s="67"/>
      <c r="R156" s="67"/>
      <c r="S156" s="68"/>
      <c r="T156" s="66"/>
      <c r="U156" s="67"/>
      <c r="V156" s="67"/>
      <c r="W156" s="68"/>
      <c r="X156" s="66"/>
      <c r="Y156" s="67"/>
      <c r="Z156" s="67"/>
      <c r="AA156" s="68"/>
      <c r="AB156" s="35"/>
      <c r="AC156" s="34"/>
      <c r="AD156" s="34"/>
      <c r="AE156" s="67"/>
      <c r="AF156" s="66"/>
      <c r="AG156" s="67"/>
      <c r="AH156" s="67"/>
      <c r="AI156" s="68"/>
      <c r="AJ156" s="66"/>
      <c r="AK156" s="67"/>
      <c r="AL156" s="67"/>
      <c r="AM156" s="68"/>
      <c r="AN156" s="66"/>
      <c r="AO156" s="67"/>
      <c r="AP156" s="67"/>
      <c r="AQ156" s="68"/>
      <c r="AR156" s="66"/>
      <c r="AS156" s="67"/>
      <c r="AT156" s="67"/>
      <c r="AU156" s="68"/>
      <c r="AV156" s="66"/>
      <c r="AW156" s="67"/>
      <c r="AX156" s="67"/>
      <c r="AY156" s="68"/>
      <c r="BB156" s="151">
        <f t="shared" si="53"/>
        <v>0</v>
      </c>
      <c r="BC156" s="152">
        <f t="shared" si="54"/>
        <v>0</v>
      </c>
      <c r="BD156" s="152">
        <f t="shared" ref="BD156" si="65">L156</f>
        <v>0</v>
      </c>
      <c r="BE156" s="6">
        <f t="shared" ref="BE156" si="66">P156</f>
        <v>0</v>
      </c>
      <c r="BF156" s="6">
        <f t="shared" ref="BF156" si="67">T156</f>
        <v>0</v>
      </c>
      <c r="BG156" s="6">
        <f t="shared" ref="BG156" si="68">X156</f>
        <v>0</v>
      </c>
      <c r="BH156" s="6">
        <f t="shared" ref="BH156" si="69">AB156</f>
        <v>0</v>
      </c>
      <c r="BI156" s="6">
        <f t="shared" ref="BI156" si="70">AF156</f>
        <v>0</v>
      </c>
      <c r="BJ156" s="6">
        <f t="shared" ref="BJ156" si="71">AJ156</f>
        <v>0</v>
      </c>
      <c r="BK156" s="6">
        <f t="shared" ref="BK156" si="72">AN156</f>
        <v>0</v>
      </c>
      <c r="BL156" s="6">
        <f t="shared" ref="BL156" si="73">AR156</f>
        <v>0</v>
      </c>
      <c r="BM156" s="7">
        <f t="shared" ref="BM156" si="74">AV156</f>
        <v>0</v>
      </c>
    </row>
    <row r="157" spans="4:65" x14ac:dyDescent="0.25">
      <c r="D157" s="66"/>
      <c r="E157" s="67"/>
      <c r="F157" s="67"/>
      <c r="G157" s="68"/>
      <c r="H157" s="66"/>
      <c r="I157" s="67"/>
      <c r="J157" s="67"/>
      <c r="K157" s="68"/>
      <c r="L157" s="66"/>
      <c r="M157" s="67"/>
      <c r="N157" s="67"/>
      <c r="O157" s="68"/>
      <c r="P157" s="66"/>
      <c r="Q157" s="67"/>
      <c r="R157" s="67"/>
      <c r="S157" s="68"/>
      <c r="T157" s="66"/>
      <c r="U157" s="67"/>
      <c r="V157" s="67"/>
      <c r="W157" s="68"/>
      <c r="X157" s="66"/>
      <c r="Y157" s="67"/>
      <c r="Z157" s="67"/>
      <c r="AA157" s="68"/>
      <c r="AB157" s="35"/>
      <c r="AC157" s="34"/>
      <c r="AD157" s="34"/>
      <c r="AE157" s="67"/>
      <c r="AF157" s="66"/>
      <c r="AG157" s="67"/>
      <c r="AH157" s="67"/>
      <c r="AI157" s="68"/>
      <c r="AJ157" s="66"/>
      <c r="AK157" s="67"/>
      <c r="AL157" s="67"/>
      <c r="AM157" s="68"/>
      <c r="AN157" s="66"/>
      <c r="AO157" s="67"/>
      <c r="AP157" s="67"/>
      <c r="AQ157" s="68"/>
      <c r="AR157" s="66"/>
      <c r="AS157" s="67"/>
      <c r="AT157" s="67"/>
      <c r="AU157" s="68"/>
      <c r="AV157" s="66"/>
      <c r="AW157" s="67"/>
      <c r="AX157" s="67"/>
      <c r="AY157" s="68"/>
      <c r="BB157" s="151">
        <f t="shared" si="53"/>
        <v>0</v>
      </c>
      <c r="BC157" s="152">
        <f t="shared" si="54"/>
        <v>0</v>
      </c>
      <c r="BD157" s="152">
        <f>L157</f>
        <v>0</v>
      </c>
      <c r="BE157" s="6">
        <f>P157</f>
        <v>0</v>
      </c>
      <c r="BF157" s="6">
        <f>T157</f>
        <v>0</v>
      </c>
      <c r="BG157" s="6">
        <f>X157</f>
        <v>0</v>
      </c>
      <c r="BH157" s="6">
        <f>AB157</f>
        <v>0</v>
      </c>
      <c r="BI157" s="6">
        <f>AF157</f>
        <v>0</v>
      </c>
      <c r="BJ157" s="6">
        <f>AJ157</f>
        <v>0</v>
      </c>
      <c r="BK157" s="6">
        <f>AN157</f>
        <v>0</v>
      </c>
      <c r="BL157" s="6">
        <f>AR157</f>
        <v>0</v>
      </c>
      <c r="BM157" s="7">
        <f>AV157</f>
        <v>0</v>
      </c>
    </row>
    <row r="158" spans="4:65" x14ac:dyDescent="0.25">
      <c r="D158" s="66"/>
      <c r="E158" s="67"/>
      <c r="F158" s="67"/>
      <c r="G158" s="68"/>
      <c r="H158" s="66"/>
      <c r="I158" s="67"/>
      <c r="J158" s="67"/>
      <c r="K158" s="68"/>
      <c r="L158" s="66"/>
      <c r="M158" s="67"/>
      <c r="N158" s="67"/>
      <c r="O158" s="68"/>
      <c r="P158" s="66"/>
      <c r="Q158" s="67"/>
      <c r="R158" s="67"/>
      <c r="S158" s="68"/>
      <c r="T158" s="66"/>
      <c r="U158" s="67"/>
      <c r="V158" s="67"/>
      <c r="W158" s="68"/>
      <c r="X158" s="66"/>
      <c r="Y158" s="67"/>
      <c r="Z158" s="67"/>
      <c r="AA158" s="68"/>
      <c r="AB158" s="66"/>
      <c r="AC158" s="67"/>
      <c r="AD158" s="67"/>
      <c r="AE158" s="67"/>
      <c r="AF158" s="66"/>
      <c r="AG158" s="67"/>
      <c r="AH158" s="67"/>
      <c r="AI158" s="68"/>
      <c r="AJ158" s="66"/>
      <c r="AK158" s="67"/>
      <c r="AL158" s="67"/>
      <c r="AM158" s="68"/>
      <c r="AN158" s="66"/>
      <c r="AO158" s="67"/>
      <c r="AP158" s="67"/>
      <c r="AQ158" s="68"/>
      <c r="AR158" s="66"/>
      <c r="AS158" s="67"/>
      <c r="AT158" s="67"/>
      <c r="AU158" s="68"/>
      <c r="AV158" s="66"/>
      <c r="AW158" s="67"/>
      <c r="AX158" s="67"/>
      <c r="AY158" s="68"/>
      <c r="BB158" s="151">
        <f t="shared" si="53"/>
        <v>0</v>
      </c>
      <c r="BC158" s="152">
        <f t="shared" si="54"/>
        <v>0</v>
      </c>
      <c r="BD158" s="152">
        <f t="shared" ref="BD158" si="75">L158</f>
        <v>0</v>
      </c>
      <c r="BE158" s="6">
        <f t="shared" ref="BE158" si="76">P158</f>
        <v>0</v>
      </c>
      <c r="BF158" s="6">
        <f t="shared" ref="BF158" si="77">T158</f>
        <v>0</v>
      </c>
      <c r="BG158" s="6">
        <f t="shared" ref="BG158" si="78">X158</f>
        <v>0</v>
      </c>
      <c r="BH158" s="6">
        <f t="shared" ref="BH158" si="79">AB158</f>
        <v>0</v>
      </c>
      <c r="BI158" s="6">
        <f t="shared" ref="BI158" si="80">AF158</f>
        <v>0</v>
      </c>
      <c r="BJ158" s="6">
        <f t="shared" ref="BJ158" si="81">AJ158</f>
        <v>0</v>
      </c>
      <c r="BK158" s="6">
        <f t="shared" ref="BK158" si="82">AN158</f>
        <v>0</v>
      </c>
      <c r="BL158" s="6">
        <f t="shared" ref="BL158" si="83">AR158</f>
        <v>0</v>
      </c>
      <c r="BM158" s="7">
        <f t="shared" ref="BM158" si="84">AV158</f>
        <v>0</v>
      </c>
    </row>
    <row r="159" spans="4:65" x14ac:dyDescent="0.25">
      <c r="D159" s="81"/>
      <c r="E159" s="82"/>
      <c r="F159" s="82"/>
      <c r="G159" s="83"/>
      <c r="H159" s="81"/>
      <c r="I159" s="82"/>
      <c r="J159" s="82"/>
      <c r="K159" s="83"/>
      <c r="L159" s="81"/>
      <c r="M159" s="82"/>
      <c r="N159" s="82"/>
      <c r="O159" s="83"/>
      <c r="P159" s="81"/>
      <c r="Q159" s="82"/>
      <c r="R159" s="82"/>
      <c r="S159" s="83"/>
      <c r="T159" s="81"/>
      <c r="U159" s="82"/>
      <c r="V159" s="82"/>
      <c r="W159" s="83"/>
      <c r="X159" s="81"/>
      <c r="Y159" s="82"/>
      <c r="Z159" s="82"/>
      <c r="AA159" s="83"/>
      <c r="AB159" s="81"/>
      <c r="AC159" s="82"/>
      <c r="AD159" s="82"/>
      <c r="AE159" s="82"/>
      <c r="AF159" s="81"/>
      <c r="AG159" s="82"/>
      <c r="AH159" s="82"/>
      <c r="AI159" s="83"/>
      <c r="AJ159" s="81"/>
      <c r="AK159" s="82"/>
      <c r="AL159" s="82"/>
      <c r="AM159" s="83"/>
      <c r="AN159" s="81"/>
      <c r="AO159" s="82"/>
      <c r="AP159" s="82"/>
      <c r="AQ159" s="83"/>
      <c r="AR159" s="81"/>
      <c r="AS159" s="82"/>
      <c r="AT159" s="82"/>
      <c r="AU159" s="83"/>
      <c r="AV159" s="81"/>
      <c r="AW159" s="82"/>
      <c r="AX159" s="82"/>
      <c r="AY159" s="83"/>
      <c r="BB159" s="43"/>
    </row>
    <row r="161" spans="1:4" x14ac:dyDescent="0.25">
      <c r="A161" s="80" t="s">
        <v>28</v>
      </c>
      <c r="B161" s="26" t="s">
        <v>80</v>
      </c>
      <c r="C161" s="26" t="s">
        <v>95</v>
      </c>
      <c r="D161" s="119" t="s">
        <v>96</v>
      </c>
    </row>
    <row r="162" spans="1:4" x14ac:dyDescent="0.25">
      <c r="A162" s="115" t="s">
        <v>24</v>
      </c>
      <c r="B162" s="105" t="s">
        <v>81</v>
      </c>
      <c r="C162" s="118">
        <f>C5+C45+C80+C122</f>
        <v>43</v>
      </c>
      <c r="D162" s="120">
        <f>C162/48</f>
        <v>0.89583333333333337</v>
      </c>
    </row>
    <row r="163" spans="1:4" x14ac:dyDescent="0.25">
      <c r="A163" s="11" t="s">
        <v>26</v>
      </c>
      <c r="B163" s="21" t="s">
        <v>82</v>
      </c>
      <c r="C163" s="118">
        <f>C6+C46+C81+C123</f>
        <v>43</v>
      </c>
      <c r="D163" s="121">
        <f t="shared" ref="D163:D175" si="85">C163/48</f>
        <v>0.89583333333333337</v>
      </c>
    </row>
    <row r="164" spans="1:4" x14ac:dyDescent="0.25">
      <c r="A164" s="41" t="s">
        <v>29</v>
      </c>
      <c r="B164" s="22" t="s">
        <v>83</v>
      </c>
      <c r="C164" s="118">
        <f>C7+C47+C82+C124</f>
        <v>41</v>
      </c>
      <c r="D164" s="121">
        <f t="shared" si="85"/>
        <v>0.85416666666666663</v>
      </c>
    </row>
    <row r="165" spans="1:4" x14ac:dyDescent="0.25">
      <c r="A165" s="44">
        <v>1712</v>
      </c>
      <c r="B165" s="23" t="s">
        <v>84</v>
      </c>
      <c r="C165" s="138">
        <f>C8+C48+C83+C125</f>
        <v>32</v>
      </c>
      <c r="D165" s="121">
        <f t="shared" si="85"/>
        <v>0.66666666666666663</v>
      </c>
    </row>
    <row r="166" spans="1:4" x14ac:dyDescent="0.25">
      <c r="A166" s="42" t="s">
        <v>30</v>
      </c>
      <c r="B166" s="24" t="s">
        <v>85</v>
      </c>
      <c r="C166" s="138">
        <f>C9+C49+C84+C126</f>
        <v>32</v>
      </c>
      <c r="D166" s="121">
        <f t="shared" si="85"/>
        <v>0.66666666666666663</v>
      </c>
    </row>
    <row r="167" spans="1:4" x14ac:dyDescent="0.25">
      <c r="A167" s="45" t="s">
        <v>31</v>
      </c>
      <c r="B167" s="25" t="s">
        <v>86</v>
      </c>
      <c r="C167" s="123">
        <f>C10+C50+C85+C127</f>
        <v>18</v>
      </c>
      <c r="D167" s="121">
        <f t="shared" si="85"/>
        <v>0.375</v>
      </c>
    </row>
    <row r="168" spans="1:4" x14ac:dyDescent="0.25">
      <c r="A168" s="116" t="s">
        <v>32</v>
      </c>
      <c r="B168" s="99" t="s">
        <v>87</v>
      </c>
      <c r="C168" s="118">
        <f>C11+C51+C86+C128</f>
        <v>35</v>
      </c>
      <c r="D168" s="121">
        <f t="shared" si="85"/>
        <v>0.72916666666666663</v>
      </c>
    </row>
    <row r="169" spans="1:4" x14ac:dyDescent="0.25">
      <c r="A169" s="87" t="s">
        <v>75</v>
      </c>
      <c r="B169" s="100" t="s">
        <v>88</v>
      </c>
      <c r="C169" s="123">
        <f>C12+C52+C87+C129</f>
        <v>11</v>
      </c>
      <c r="D169" s="121">
        <f t="shared" si="85"/>
        <v>0.22916666666666666</v>
      </c>
    </row>
    <row r="170" spans="1:4" x14ac:dyDescent="0.25">
      <c r="A170" s="88" t="s">
        <v>76</v>
      </c>
      <c r="B170" s="101" t="s">
        <v>89</v>
      </c>
      <c r="C170" s="123">
        <f>C13+C53+C88+C130</f>
        <v>9</v>
      </c>
      <c r="D170" s="121">
        <f t="shared" si="85"/>
        <v>0.1875</v>
      </c>
    </row>
    <row r="171" spans="1:4" x14ac:dyDescent="0.25">
      <c r="A171" s="89" t="s">
        <v>77</v>
      </c>
      <c r="B171" s="102" t="s">
        <v>90</v>
      </c>
      <c r="C171" s="123">
        <f>C14+C54+C89+C131</f>
        <v>5</v>
      </c>
      <c r="D171" s="121">
        <f t="shared" si="85"/>
        <v>0.10416666666666667</v>
      </c>
    </row>
    <row r="172" spans="1:4" x14ac:dyDescent="0.25">
      <c r="A172" s="92" t="s">
        <v>65</v>
      </c>
      <c r="B172" s="103" t="s">
        <v>91</v>
      </c>
      <c r="C172" s="123">
        <f>C15+C55+C90+C132</f>
        <v>15</v>
      </c>
      <c r="D172" s="121">
        <f t="shared" si="85"/>
        <v>0.3125</v>
      </c>
    </row>
    <row r="173" spans="1:4" x14ac:dyDescent="0.25">
      <c r="A173" s="117" t="s">
        <v>68</v>
      </c>
      <c r="B173" s="104" t="s">
        <v>92</v>
      </c>
      <c r="C173" s="123">
        <f>C16+C56+C91+C133</f>
        <v>10</v>
      </c>
      <c r="D173" s="121">
        <f t="shared" si="85"/>
        <v>0.20833333333333334</v>
      </c>
    </row>
    <row r="174" spans="1:4" x14ac:dyDescent="0.25">
      <c r="A174" s="111" t="s">
        <v>69</v>
      </c>
      <c r="B174" s="111" t="s">
        <v>93</v>
      </c>
      <c r="C174" s="123">
        <f>C17+C57+C92+C134</f>
        <v>10</v>
      </c>
      <c r="D174" s="121">
        <f t="shared" si="85"/>
        <v>0.20833333333333334</v>
      </c>
    </row>
    <row r="175" spans="1:4" x14ac:dyDescent="0.25">
      <c r="A175" s="112" t="s">
        <v>79</v>
      </c>
      <c r="B175" s="112" t="s">
        <v>94</v>
      </c>
      <c r="C175" s="124">
        <f>C18+C58+C93+C135</f>
        <v>0</v>
      </c>
      <c r="D175" s="122">
        <f t="shared" si="85"/>
        <v>0</v>
      </c>
    </row>
    <row r="176" spans="1:4" x14ac:dyDescent="0.25">
      <c r="A176" s="43" t="s">
        <v>18</v>
      </c>
    </row>
    <row r="177" spans="1:1" x14ac:dyDescent="0.25">
      <c r="A177" s="43" t="s">
        <v>19</v>
      </c>
    </row>
    <row r="178" spans="1:1" x14ac:dyDescent="0.25">
      <c r="A178" s="43" t="s">
        <v>40</v>
      </c>
    </row>
    <row r="179" spans="1:1" x14ac:dyDescent="0.25">
      <c r="A179" s="43" t="s">
        <v>45</v>
      </c>
    </row>
    <row r="180" spans="1:1" x14ac:dyDescent="0.25">
      <c r="A180" s="43" t="s">
        <v>49</v>
      </c>
    </row>
    <row r="181" spans="1:1" x14ac:dyDescent="0.25">
      <c r="A181" s="43" t="s">
        <v>50</v>
      </c>
    </row>
    <row r="182" spans="1:1" x14ac:dyDescent="0.25">
      <c r="A182" s="43" t="s">
        <v>53</v>
      </c>
    </row>
    <row r="183" spans="1:1" x14ac:dyDescent="0.25">
      <c r="A183" s="43" t="s">
        <v>54</v>
      </c>
    </row>
    <row r="184" spans="1:1" x14ac:dyDescent="0.25">
      <c r="A184" s="43" t="s">
        <v>55</v>
      </c>
    </row>
    <row r="185" spans="1:1" x14ac:dyDescent="0.25">
      <c r="A185" s="43" t="s">
        <v>56</v>
      </c>
    </row>
    <row r="186" spans="1:1" x14ac:dyDescent="0.25">
      <c r="A186" s="43" t="s">
        <v>57</v>
      </c>
    </row>
    <row r="187" spans="1:1" x14ac:dyDescent="0.25">
      <c r="A187" s="43" t="s">
        <v>58</v>
      </c>
    </row>
    <row r="188" spans="1:1" x14ac:dyDescent="0.25">
      <c r="A188" s="43">
        <v>5636</v>
      </c>
    </row>
    <row r="189" spans="1:1" x14ac:dyDescent="0.25">
      <c r="A189" s="43" t="s">
        <v>59</v>
      </c>
    </row>
    <row r="190" spans="1:1" x14ac:dyDescent="0.25">
      <c r="A190" s="43" t="s">
        <v>60</v>
      </c>
    </row>
    <row r="191" spans="1:1" x14ac:dyDescent="0.25">
      <c r="A191" s="43" t="s">
        <v>61</v>
      </c>
    </row>
  </sheetData>
  <sortState ref="CJ5:CM34">
    <sortCondition ref="CJ5"/>
  </sortState>
  <mergeCells count="61">
    <mergeCell ref="CJ3:CM3"/>
    <mergeCell ref="CC3:CF3"/>
    <mergeCell ref="BB78:BM78"/>
    <mergeCell ref="BB120:BM120"/>
    <mergeCell ref="BV3:BY3"/>
    <mergeCell ref="BO3:BR3"/>
    <mergeCell ref="BB43:BM43"/>
    <mergeCell ref="BA5:BA34"/>
    <mergeCell ref="BB3:BM3"/>
    <mergeCell ref="D119:AY119"/>
    <mergeCell ref="D120:G120"/>
    <mergeCell ref="H120:K120"/>
    <mergeCell ref="L120:O120"/>
    <mergeCell ref="P120:S120"/>
    <mergeCell ref="T120:W120"/>
    <mergeCell ref="X120:AA120"/>
    <mergeCell ref="AB120:AE120"/>
    <mergeCell ref="AF120:AI120"/>
    <mergeCell ref="AJ120:AM120"/>
    <mergeCell ref="AN120:AQ120"/>
    <mergeCell ref="AR120:AU120"/>
    <mergeCell ref="AV120:AY120"/>
    <mergeCell ref="D77:AY77"/>
    <mergeCell ref="D78:G78"/>
    <mergeCell ref="H78:K78"/>
    <mergeCell ref="L78:O78"/>
    <mergeCell ref="P78:S78"/>
    <mergeCell ref="T78:W78"/>
    <mergeCell ref="X78:AA78"/>
    <mergeCell ref="AB78:AE78"/>
    <mergeCell ref="AF78:AI78"/>
    <mergeCell ref="AJ78:AM78"/>
    <mergeCell ref="AN78:AQ78"/>
    <mergeCell ref="AR78:AU78"/>
    <mergeCell ref="AV78:AY78"/>
    <mergeCell ref="D42:AY42"/>
    <mergeCell ref="D43:G43"/>
    <mergeCell ref="H43:K43"/>
    <mergeCell ref="L43:O43"/>
    <mergeCell ref="P43:S43"/>
    <mergeCell ref="T43:W43"/>
    <mergeCell ref="X43:AA43"/>
    <mergeCell ref="AB43:AE43"/>
    <mergeCell ref="AF43:AI43"/>
    <mergeCell ref="AJ43:AM43"/>
    <mergeCell ref="AN43:AQ43"/>
    <mergeCell ref="AR43:AU43"/>
    <mergeCell ref="AV43:AY43"/>
    <mergeCell ref="D2:AY2"/>
    <mergeCell ref="AB3:AE3"/>
    <mergeCell ref="AF3:AI3"/>
    <mergeCell ref="AJ3:AM3"/>
    <mergeCell ref="AN3:AQ3"/>
    <mergeCell ref="AR3:AU3"/>
    <mergeCell ref="AV3:AY3"/>
    <mergeCell ref="D3:G3"/>
    <mergeCell ref="H3:K3"/>
    <mergeCell ref="L3:O3"/>
    <mergeCell ref="P3:S3"/>
    <mergeCell ref="T3:W3"/>
    <mergeCell ref="X3:AA3"/>
  </mergeCells>
  <conditionalFormatting sqref="D5">
    <cfRule type="expression" dxfId="16" priority="40">
      <formula>"""SI(B5=A5, ""COLOR VERDE"", B5=A6, ""COLOR VERDE"", B5=A7, ""COLOR VERD+$B$5E"",B5=A8, ""COLOR VERDE"", B5=A9, ""COLOR VERDE"",B5=A10, ""COLOR VERDE"", falso)"""</formula>
    </cfRule>
  </conditionalFormatting>
  <conditionalFormatting sqref="D45">
    <cfRule type="expression" dxfId="15" priority="39">
      <formula>"""SI(B5=A5, ""COLOR VERDE"", B5=A6, ""COLOR VERDE"", B5=A7, ""COLOR VERD+$B$5E"",B5=A8, ""COLOR VERDE"", B5=A9, ""COLOR VERDE"",B5=A10, ""COLOR VERDE"", falso)"""</formula>
    </cfRule>
  </conditionalFormatting>
  <conditionalFormatting sqref="D80">
    <cfRule type="expression" dxfId="14" priority="38">
      <formula>"""SI(B5=A5, ""COLOR VERDE"", B5=A6, ""COLOR VERDE"", B5=A7, ""COLOR VERD+$B$5E"",B5=A8, ""COLOR VERDE"", B5=A9, ""COLOR VERDE"",B5=A10, ""COLOR VERDE"", falso)"""</formula>
    </cfRule>
  </conditionalFormatting>
  <conditionalFormatting sqref="D122">
    <cfRule type="expression" dxfId="13" priority="37">
      <formula>"""SI(B5=A5, ""COLOR VERDE"", B5=A6, ""COLOR VERDE"", B5=A7, ""COLOR VERD+$B$5E"",B5=A8, ""COLOR VERDE"", B5=A9, ""COLOR VERDE"",B5=A10, ""COLOR VERDE"", falso)"""</formula>
    </cfRule>
  </conditionalFormatting>
  <conditionalFormatting sqref="BW5:BW46">
    <cfRule type="cellIs" dxfId="12" priority="12" operator="greaterThan">
      <formula>8.9</formula>
    </cfRule>
    <cfRule type="top10" dxfId="11" priority="24" rank="9"/>
  </conditionalFormatting>
  <conditionalFormatting sqref="CD5:CD51">
    <cfRule type="cellIs" dxfId="10" priority="13" operator="greaterThan">
      <formula>8.9</formula>
    </cfRule>
    <cfRule type="cellIs" dxfId="9" priority="14" operator="greaterThan">
      <formula>"8.9"</formula>
    </cfRule>
    <cfRule type="cellIs" dxfId="8" priority="15" operator="greaterThan">
      <formula>"8.9"</formula>
    </cfRule>
  </conditionalFormatting>
  <conditionalFormatting sqref="BP5:BP34">
    <cfRule type="cellIs" dxfId="7" priority="10" operator="greaterThan">
      <formula>8</formula>
    </cfRule>
  </conditionalFormatting>
  <conditionalFormatting sqref="CK5:CK34">
    <cfRule type="cellIs" dxfId="6" priority="7" operator="greaterThan">
      <formula>8.9</formula>
    </cfRule>
    <cfRule type="cellIs" dxfId="5" priority="8" operator="greaterThan">
      <formula>"8.9"</formula>
    </cfRule>
    <cfRule type="cellIs" dxfId="4" priority="9" operator="greaterThan">
      <formula>"8.9"</formula>
    </cfRule>
  </conditionalFormatting>
  <conditionalFormatting sqref="CE5:CE51">
    <cfRule type="cellIs" dxfId="3" priority="6" operator="greaterThan">
      <formula>0.74</formula>
    </cfRule>
  </conditionalFormatting>
  <conditionalFormatting sqref="CL5:CL34">
    <cfRule type="cellIs" dxfId="2" priority="5" operator="greaterThan">
      <formula>0.74</formula>
    </cfRule>
  </conditionalFormatting>
  <conditionalFormatting sqref="BX5:BX46">
    <cfRule type="cellIs" dxfId="1" priority="4" operator="greaterThan">
      <formula>0.74</formula>
    </cfRule>
  </conditionalFormatting>
  <conditionalFormatting sqref="BQ5:BQ34">
    <cfRule type="cellIs" dxfId="0" priority="3" operator="greaterThan">
      <formula>0.74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Andres Calberto Sanchez</dc:creator>
  <cp:lastModifiedBy>German Andres Calberto Sanchez</cp:lastModifiedBy>
  <dcterms:created xsi:type="dcterms:W3CDTF">2026-07-02T16:31:11Z</dcterms:created>
  <dcterms:modified xsi:type="dcterms:W3CDTF">2026-07-09T21:39:51Z</dcterms:modified>
</cp:coreProperties>
</file>